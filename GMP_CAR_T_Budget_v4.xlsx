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388c80543946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Dashboard" sheetId="1" r:id="R2bb0d8a364474edf"/>
    <x:sheet xmlns:r="http://schemas.openxmlformats.org/officeDocument/2006/relationships" name="01 Scenarios" sheetId="2" r:id="Rfd29bd5246fc43da"/>
    <x:sheet xmlns:r="http://schemas.openxmlformats.org/officeDocument/2006/relationships" name="02 Patient Funnel" sheetId="3" r:id="R969571fae6ce480b"/>
    <x:sheet xmlns:r="http://schemas.openxmlformats.org/officeDocument/2006/relationships" name="03 WBS Costs" sheetId="4" r:id="R970feaa1de4a41a8"/>
    <x:sheet xmlns:r="http://schemas.openxmlformats.org/officeDocument/2006/relationships" name="04 Assay Register" sheetId="5" r:id="R1bca8a994c2544f7"/>
    <x:sheet xmlns:r="http://schemas.openxmlformats.org/officeDocument/2006/relationships" name="05 Supplier Quotes" sheetId="6" r:id="Rc7e5a9e04c064bcf"/>
    <x:sheet xmlns:r="http://schemas.openxmlformats.org/officeDocument/2006/relationships" name="06 Clinical Costs" sheetId="7" r:id="R793c743f163c4bf0"/>
    <x:sheet xmlns:r="http://schemas.openxmlformats.org/officeDocument/2006/relationships" name="07 Financial Projection" sheetId="8" r:id="R9ca61a27981542d2"/>
    <x:sheet xmlns:r="http://schemas.openxmlformats.org/officeDocument/2006/relationships" name="08 Audit" sheetId="9" r:id="Rbe62cb1bb6ec4e77"/>
    <x:sheet xmlns:r="http://schemas.openxmlformats.org/officeDocument/2006/relationships" name="09 Cash Flow" sheetId="10" r:id="Rd866605d6103456c"/>
    <x:sheet xmlns:r="http://schemas.openxmlformats.org/officeDocument/2006/relationships" name="Vector Lot Policy" sheetId="11" r:id="R22febadcd30541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123C5A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865d0b87a84565" /><Relationship Type="http://schemas.openxmlformats.org/officeDocument/2006/relationships/theme" Target="/xl/theme/theme1.xml" Id="R9e7b98c945e64fc7" /><Relationship Type="http://schemas.openxmlformats.org/officeDocument/2006/relationships/sharedStrings" Target="/xl/sharedStrings.xml" Id="R54d86e477b96462b" /><Relationship Type="http://schemas.openxmlformats.org/officeDocument/2006/relationships/worksheet" Target="/xl/worksheets/sheet1.xml" Id="R2bb0d8a364474edf" /><Relationship Type="http://schemas.openxmlformats.org/officeDocument/2006/relationships/worksheet" Target="/xl/worksheets/sheet2.xml" Id="Rfd29bd5246fc43da" /><Relationship Type="http://schemas.openxmlformats.org/officeDocument/2006/relationships/worksheet" Target="/xl/worksheets/sheet3.xml" Id="R969571fae6ce480b" /><Relationship Type="http://schemas.openxmlformats.org/officeDocument/2006/relationships/worksheet" Target="/xl/worksheets/sheet4.xml" Id="R970feaa1de4a41a8" /><Relationship Type="http://schemas.openxmlformats.org/officeDocument/2006/relationships/worksheet" Target="/xl/worksheets/sheet5.xml" Id="R1bca8a994c2544f7" /><Relationship Type="http://schemas.openxmlformats.org/officeDocument/2006/relationships/worksheet" Target="/xl/worksheets/sheet6.xml" Id="Rc7e5a9e04c064bcf" /><Relationship Type="http://schemas.openxmlformats.org/officeDocument/2006/relationships/worksheet" Target="/xl/worksheets/sheet7.xml" Id="R793c743f163c4bf0" /><Relationship Type="http://schemas.openxmlformats.org/officeDocument/2006/relationships/worksheet" Target="/xl/worksheets/sheet8.xml" Id="R9ca61a27981542d2" /><Relationship Type="http://schemas.openxmlformats.org/officeDocument/2006/relationships/worksheet" Target="/xl/worksheets/sheet9.xml" Id="Rbe62cb1bb6ec4e77" /><Relationship Type="http://schemas.openxmlformats.org/officeDocument/2006/relationships/worksheet" Target="/xl/worksheets/sheet10.xml" Id="Rd866605d6103456c" /><Relationship Type="http://schemas.openxmlformats.org/officeDocument/2006/relationships/worksheet" Target="/xl/worksheets/sheet11.xml" Id="R22febadcd30541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9" hidden="0" customWidth="1"/>
  </x:cols>
  <x:sheetData>
    <x:row r="1" ht="29" customHeight="1">
      <x:c r="A1" s="3" t="str">
        <x:v>GMP CAR-T BUDGET v3 | 12 INFUSIONS</x:v>
      </x:c>
      <x:c r="B1" s="3"/>
    </x:row>
    <x:row r="2">
      <x:c r="A2" t="str">
        <x:v>Status</x:v>
      </x:c>
      <x:c r="B2" t="str">
        <x:v>UNQUOTED - no approved budget</x:v>
      </x:c>
    </x:row>
    <x:row r="3">
      <x:c r="A3" t="str">
        <x:v>Target infused</x:v>
      </x:c>
      <x:c r="B3" t="n">
        <x:v>12</x:v>
      </x:c>
    </x:row>
    <x:row r="4">
      <x:c r="A4" t="str">
        <x:v>Accounting principle</x:v>
      </x:c>
      <x:c r="B4" t="str">
        <x:v>Clinical, vector, GMP, assays and overhead segregated</x:v>
      </x:c>
    </x:row>
    <x:row r="5">
      <x:c r="A5" t="str">
        <x:v>Price principle</x:v>
      </x:c>
      <x:c r="B5" t="str">
        <x:v>Blank = missing; never free</x:v>
      </x:c>
    </x:row>
    <x:row r="6">
      <x:c r="A6" t="str">
        <x:v>Review</x:v>
      </x:c>
      <x:c r="B6" t="str">
        <x:v>18 checks pending evidence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29" customHeight="1">
      <x:c r="A1" s="3" t="str">
        <x:v>Scenario</x:v>
      </x:c>
      <x:c r="B1" s="3" t="str">
        <x:v>Target infused</x:v>
      </x:c>
      <x:c r="C1" s="3" t="str">
        <x:v>Eligible</x:v>
      </x:c>
      <x:c r="D1" s="3" t="str">
        <x:v>Collection</x:v>
      </x:c>
      <x:c r="E1" s="3" t="str">
        <x:v>Manufacture</x:v>
      </x:c>
      <x:c r="F1" s="3" t="str">
        <x:v>QC release</x:v>
      </x:c>
      <x:c r="G1" s="3" t="str">
        <x:v>Infusion</x:v>
      </x:c>
      <x:c r="H1" s="3" t="str">
        <x:v>Vector capacity</x:v>
      </x:c>
      <x:c r="I1" s="3" t="str">
        <x:v>Vector release</x:v>
      </x:c>
      <x:c r="J1" s="3" t="str">
        <x:v>Contingency</x:v>
      </x:c>
      <x:c r="K1" s="3" t="str">
        <x:v>Target confidence</x:v>
      </x:c>
    </x:row>
    <x:row r="2">
      <x:c r="A2" t="str">
        <x:v>Low</x:v>
      </x:c>
      <x:c r="B2" t="n">
        <x:v>12</x:v>
      </x:c>
      <x:c r="C2" t="n">
        <x:v>0.95</x:v>
      </x:c>
      <x:c r="D2" t="n">
        <x:v>0.98</x:v>
      </x:c>
      <x:c r="E2" t="n">
        <x:v>0.95</x:v>
      </x:c>
      <x:c r="F2" t="n">
        <x:v>0.97</x:v>
      </x:c>
      <x:c r="G2" t="n">
        <x:v>0.99</x:v>
      </x:c>
      <x:c r="H2" t="n">
        <x:v>16</x:v>
      </x:c>
      <x:c r="I2" t="n">
        <x:v>0.95</x:v>
      </x:c>
      <x:c r="J2" t="n">
        <x:v>0.08</x:v>
      </x:c>
      <x:c r="K2" t="n">
        <x:v>0.9</x:v>
      </x:c>
    </x:row>
    <x:row r="3">
      <x:c r="A3" t="str">
        <x:v>Base</x:v>
      </x:c>
      <x:c r="B3" t="n">
        <x:v>12</x:v>
      </x:c>
      <x:c r="C3" t="n">
        <x:v>0.9</x:v>
      </x:c>
      <x:c r="D3" t="n">
        <x:v>0.95</x:v>
      </x:c>
      <x:c r="E3" t="n">
        <x:v>0.92</x:v>
      </x:c>
      <x:c r="F3" t="n">
        <x:v>0.95</x:v>
      </x:c>
      <x:c r="G3" t="n">
        <x:v>0.98</x:v>
      </x:c>
      <x:c r="H3" t="n">
        <x:v>12</x:v>
      </x:c>
      <x:c r="I3" t="n">
        <x:v>0.9</x:v>
      </x:c>
      <x:c r="J3" t="n">
        <x:v>0.12</x:v>
      </x:c>
      <x:c r="K3" t="n">
        <x:v>0.9</x:v>
      </x:c>
    </x:row>
    <x:row r="4">
      <x:c r="A4" t="str">
        <x:v>High</x:v>
      </x:c>
      <x:c r="B4" t="n">
        <x:v>12</x:v>
      </x:c>
      <x:c r="C4" t="n">
        <x:v>0.85</x:v>
      </x:c>
      <x:c r="D4" t="n">
        <x:v>0.9</x:v>
      </x:c>
      <x:c r="E4" t="n">
        <x:v>0.85</x:v>
      </x:c>
      <x:c r="F4" t="n">
        <x:v>0.9</x:v>
      </x:c>
      <x:c r="G4" t="n">
        <x:v>0.95</x:v>
      </x:c>
      <x:c r="H4" t="n">
        <x:v>8</x:v>
      </x:c>
      <x:c r="I4" t="n">
        <x:v>0.8</x:v>
      </x:c>
      <x:c r="J4" t="n">
        <x:v>0.18</x:v>
      </x:c>
      <x:c r="K4" t="n">
        <x:v>0.9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29" customHeight="1">
      <x:c r="A1" s="3" t="str">
        <x:v>Scenario</x:v>
      </x:c>
      <x:c r="B1" s="3" t="str">
        <x:v>Expected screened</x:v>
      </x:c>
      <x:c r="C1" s="3" t="str">
        <x:v>Planned screened 90%</x:v>
      </x:c>
      <x:c r="D1" s="3" t="str">
        <x:v>Expected starts</x:v>
      </x:c>
      <x:c r="E1" s="3" t="str">
        <x:v>Expected infused</x:v>
      </x:c>
      <x:c r="F1" s="3" t="str">
        <x:v>Vector lots expected</x:v>
      </x:c>
      <x:c r="G1" s="3" t="str">
        <x:v>Clinical budget driver</x:v>
      </x:c>
    </x:row>
    <x:row r="2">
      <x:c r="A2" t="str">
        <x:v>Low</x:v>
      </x:c>
      <x:c r="B2" t="n">
        <x:f>'01 Scenarios'!B2/PRODUCT('01 Scenarios'!C2:G2)</x:f>
        <x:v>14.128661846709</x:v>
      </x:c>
      <x:c r="C2" t="n">
        <x:f>ROUNDUP(B2,0)</x:f>
        <x:v>15</x:v>
      </x:c>
      <x:c r="D2" t="n">
        <x:f>'01 Scenarios'!B2/PRODUCT('01 Scenarios'!E2:G2)</x:f>
        <x:v>13.153784179286077</x:v>
      </x:c>
      <x:c r="E2" t="n">
        <x:v>12</x:v>
      </x:c>
      <x:c r="F2" t="n">
        <x:f>ROUNDUP(D2/'01 Scenarios'!H2/'01 Scenarios'!I2,0)</x:f>
        <x:v>1</x:v>
      </x:c>
      <x:c r="G2" t="str">
        <x:v>lymphodepleted not infused</x:v>
      </x:c>
    </x:row>
    <x:row r="3">
      <x:c r="A3" t="str">
        <x:v>Base</x:v>
      </x:c>
      <x:c r="B3" t="n">
        <x:f>'01 Scenarios'!B3/PRODUCT('01 Scenarios'!C3:G3)</x:f>
        <x:v>16.386176293954897</x:v>
      </x:c>
      <x:c r="C3" t="n">
        <x:f>ROUNDUP(B3,0)</x:f>
        <x:v>17</x:v>
      </x:c>
      <x:c r="D3" t="n">
        <x:f>'01 Scenarios'!B3/PRODUCT('01 Scenarios'!E3:G3)</x:f>
        <x:v>14.010180731331435</x:v>
      </x:c>
      <x:c r="E3" t="n">
        <x:v>12</x:v>
      </x:c>
      <x:c r="F3" t="n">
        <x:f>ROUNDUP(D3/'01 Scenarios'!H3/'01 Scenarios'!I3,0)</x:f>
        <x:v>2</x:v>
      </x:c>
      <x:c r="G3" t="str">
        <x:v>lymphodepleted not infused</x:v>
      </x:c>
    </x:row>
    <x:row r="4">
      <x:c r="A4" t="str">
        <x:v>High</x:v>
      </x:c>
      <x:c r="B4" t="n">
        <x:f>'01 Scenarios'!B4/PRODUCT('01 Scenarios'!C4:G4)</x:f>
        <x:v>21.58414105236178</x:v>
      </x:c>
      <x:c r="C4" t="n">
        <x:f>ROUNDUP(B4,0)</x:f>
        <x:v>22</x:v>
      </x:c>
      <x:c r="D4" t="n">
        <x:f>'01 Scenarios'!B4/PRODUCT('01 Scenarios'!E4:G4)</x:f>
        <x:v>16.51186790505676</x:v>
      </x:c>
      <x:c r="E4" t="n">
        <x:v>12</x:v>
      </x:c>
      <x:c r="F4" t="n">
        <x:f>ROUNDUP(D4/'01 Scenarios'!H4/'01 Scenarios'!I4,0)</x:f>
        <x:v>3</x:v>
      </x:c>
      <x:c r="G4" t="str">
        <x:v>lymphodepleted not infused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9" hidden="0" customWidth="1"/>
    <x:col min="3" max="3" width="40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9" customHeight="1">
      <x:c r="A1" s="3" t="str">
        <x:v>WBS</x:v>
      </x:c>
      <x:c r="B1" s="3" t="str">
        <x:v>Stream</x:v>
      </x:c>
      <x:c r="C1" s="3" t="str">
        <x:v>Description</x:v>
      </x:c>
      <x:c r="D1" s="3" t="str">
        <x:v>Driver</x:v>
      </x:c>
      <x:c r="E1" s="3" t="str">
        <x:v>Unit cost SEK</x:v>
      </x:c>
      <x:c r="F1" s="3" t="str">
        <x:v>Evidence</x:v>
      </x:c>
      <x:c r="G1" s="3" t="str">
        <x:v>Source</x:v>
      </x:c>
      <x:c r="H1" s="3" t="str">
        <x:v>Duplicate ownership review</x:v>
      </x:c>
    </x:row>
    <x:row r="2">
      <x:c r="A2" t="str">
        <x:v>V01</x:v>
      </x:c>
      <x:c r="B2" t="str">
        <x:v>Vector</x:v>
      </x:c>
      <x:c r="C2" t="str">
        <x:v>Research-grade retroviral vector and licensing</x:v>
      </x:c>
      <x:c r="D2" t="str">
        <x:v>program</x:v>
      </x:c>
      <x:c r="E2" t="str"/>
      <x:c r="F2" t="str">
        <x:v>UNQUOTED</x:v>
      </x:c>
      <x:c r="G2" t="str"/>
      <x:c r="H2" t="str">
        <x:v>PENDING</x:v>
      </x:c>
    </x:row>
    <x:row r="3">
      <x:c r="A3" t="str">
        <x:v>V02</x:v>
      </x:c>
      <x:c r="B3" t="str">
        <x:v>Vector</x:v>
      </x:c>
      <x:c r="C3" t="str">
        <x:v>Vector CDMO qualification and technology transfer</x:v>
      </x:c>
      <x:c r="D3" t="str">
        <x:v>program</x:v>
      </x:c>
      <x:c r="E3" t="str"/>
      <x:c r="F3" t="str">
        <x:v>UNQUOTED</x:v>
      </x:c>
      <x:c r="G3" t="str"/>
      <x:c r="H3" t="str">
        <x:v>PENDING</x:v>
      </x:c>
    </x:row>
    <x:row r="4">
      <x:c r="A4" t="str">
        <x:v>V03</x:v>
      </x:c>
      <x:c r="B4" t="str">
        <x:v>Vector</x:v>
      </x:c>
      <x:c r="C4" t="str">
        <x:v>Engineering batches and CMC development</x:v>
      </x:c>
      <x:c r="D4" t="str">
        <x:v>program</x:v>
      </x:c>
      <x:c r="E4" t="str"/>
      <x:c r="F4" t="str">
        <x:v>UNQUOTED</x:v>
      </x:c>
      <x:c r="G4" t="str"/>
      <x:c r="H4" t="str">
        <x:v>PENDING</x:v>
      </x:c>
    </x:row>
    <x:row r="5">
      <x:c r="A5" t="str">
        <x:v>V04</x:v>
      </x:c>
      <x:c r="B5" t="str">
        <x:v>Vector</x:v>
      </x:c>
      <x:c r="C5" t="str">
        <x:v>GMP vector production per attempted lot</x:v>
      </x:c>
      <x:c r="D5" t="str">
        <x:v>vector_attempts</x:v>
      </x:c>
      <x:c r="E5" t="str"/>
      <x:c r="F5" t="str">
        <x:v>UNQUOTED</x:v>
      </x:c>
      <x:c r="G5" t="str"/>
      <x:c r="H5" t="str">
        <x:v>PENDING</x:v>
      </x:c>
    </x:row>
    <x:row r="6">
      <x:c r="A6" t="str">
        <x:v>V05</x:v>
      </x:c>
      <x:c r="B6" t="str">
        <x:v>Vector</x:v>
      </x:c>
      <x:c r="C6" t="str">
        <x:v>GMP vector lot release testing</x:v>
      </x:c>
      <x:c r="D6" t="str">
        <x:v>vector_attempts</x:v>
      </x:c>
      <x:c r="E6" t="str"/>
      <x:c r="F6" t="str">
        <x:v>UNQUOTED</x:v>
      </x:c>
      <x:c r="G6" t="str"/>
      <x:c r="H6" t="str">
        <x:v>PENDING</x:v>
      </x:c>
    </x:row>
    <x:row r="7">
      <x:c r="A7" t="str">
        <x:v>M01</x:v>
      </x:c>
      <x:c r="B7" t="str">
        <x:v>GMP</x:v>
      </x:c>
      <x:c r="C7" t="str">
        <x:v>Leukapheresis material receipt and transport</x:v>
      </x:c>
      <x:c r="D7" t="str">
        <x:v>collections</x:v>
      </x:c>
      <x:c r="E7" t="str"/>
      <x:c r="F7" t="str">
        <x:v>UNQUOTED</x:v>
      </x:c>
      <x:c r="G7" t="str"/>
      <x:c r="H7" t="str">
        <x:v>PENDING</x:v>
      </x:c>
    </x:row>
    <x:row r="8">
      <x:c r="A8" t="str">
        <x:v>M02</x:v>
      </x:c>
      <x:c r="B8" t="str">
        <x:v>GMP</x:v>
      </x:c>
      <x:c r="C8" t="str">
        <x:v>PBMC isolation and activation</x:v>
      </x:c>
      <x:c r="D8" t="str">
        <x:v>starts</x:v>
      </x:c>
      <x:c r="E8" t="str"/>
      <x:c r="F8" t="str">
        <x:v>UNQUOTED</x:v>
      </x:c>
      <x:c r="G8" t="str"/>
      <x:c r="H8" t="str">
        <x:v>PENDING</x:v>
      </x:c>
    </x:row>
    <x:row r="9">
      <x:c r="A9" t="str">
        <x:v>M03</x:v>
      </x:c>
      <x:c r="B9" t="str">
        <x:v>GMP</x:v>
      </x:c>
      <x:c r="C9" t="str">
        <x:v>Small-scale process development</x:v>
      </x:c>
      <x:c r="D9" t="str">
        <x:v>program</x:v>
      </x:c>
      <x:c r="E9" t="str"/>
      <x:c r="F9" t="str">
        <x:v>UNQUOTED</x:v>
      </x:c>
      <x:c r="G9" t="str"/>
      <x:c r="H9" t="str">
        <x:v>PENDING</x:v>
      </x:c>
    </x:row>
    <x:row r="10">
      <x:c r="A10" t="str">
        <x:v>M04</x:v>
      </x:c>
      <x:c r="B10" t="str">
        <x:v>GMP</x:v>
      </x:c>
      <x:c r="C10" t="str">
        <x:v>Large-scale GMP CAR-T manufacturing</x:v>
      </x:c>
      <x:c r="D10" t="str">
        <x:v>starts</x:v>
      </x:c>
      <x:c r="E10" t="str"/>
      <x:c r="F10" t="str">
        <x:v>UNQUOTED</x:v>
      </x:c>
      <x:c r="G10" t="str"/>
      <x:c r="H10" t="str">
        <x:v>PENDING</x:v>
      </x:c>
    </x:row>
    <x:row r="11">
      <x:c r="A11" t="str">
        <x:v>M05</x:v>
      </x:c>
      <x:c r="B11" t="str">
        <x:v>GMP</x:v>
      </x:c>
      <x:c r="C11" t="str">
        <x:v>In-process and release testing</x:v>
      </x:c>
      <x:c r="D11" t="str">
        <x:v>manufactured</x:v>
      </x:c>
      <x:c r="E11" t="str"/>
      <x:c r="F11" t="str">
        <x:v>UNQUOTED</x:v>
      </x:c>
      <x:c r="G11" t="str"/>
      <x:c r="H11" t="str">
        <x:v>PENDING</x:v>
      </x:c>
    </x:row>
    <x:row r="12">
      <x:c r="A12" t="str">
        <x:v>M06</x:v>
      </x:c>
      <x:c r="B12" t="str">
        <x:v>GMP</x:v>
      </x:c>
      <x:c r="C12" t="str">
        <x:v>Cryopreservation and transport</x:v>
      </x:c>
      <x:c r="D12" t="str">
        <x:v>released</x:v>
      </x:c>
      <x:c r="E12" t="str"/>
      <x:c r="F12" t="str">
        <x:v>UNQUOTED</x:v>
      </x:c>
      <x:c r="G12" t="str"/>
      <x:c r="H12" t="str">
        <x:v>PENDING</x:v>
      </x:c>
    </x:row>
    <x:row r="13">
      <x:c r="A13" t="str">
        <x:v>C01</x:v>
      </x:c>
      <x:c r="B13" t="str">
        <x:v>Clinical</x:v>
      </x:c>
      <x:c r="C13" t="str">
        <x:v>Screening and consent</x:v>
      </x:c>
      <x:c r="D13" t="str">
        <x:v>screened</x:v>
      </x:c>
      <x:c r="E13" t="str"/>
      <x:c r="F13" t="str">
        <x:v>UNQUOTED</x:v>
      </x:c>
      <x:c r="G13" t="str"/>
      <x:c r="H13" t="str">
        <x:v>PENDING</x:v>
      </x:c>
    </x:row>
    <x:row r="14">
      <x:c r="A14" t="str">
        <x:v>C02</x:v>
      </x:c>
      <x:c r="B14" t="str">
        <x:v>Clinical</x:v>
      </x:c>
      <x:c r="C14" t="str">
        <x:v>Leukapheresis procedure</x:v>
      </x:c>
      <x:c r="D14" t="str">
        <x:v>collections</x:v>
      </x:c>
      <x:c r="E14" t="str"/>
      <x:c r="F14" t="str">
        <x:v>UNQUOTED</x:v>
      </x:c>
      <x:c r="G14" t="str"/>
      <x:c r="H14" t="str">
        <x:v>PENDING</x:v>
      </x:c>
    </x:row>
    <x:row r="15">
      <x:c r="A15" t="str">
        <x:v>C03</x:v>
      </x:c>
      <x:c r="B15" t="str">
        <x:v>Clinical</x:v>
      </x:c>
      <x:c r="C15" t="str">
        <x:v>Lymphodepletion chemotherapy</x:v>
      </x:c>
      <x:c r="D15" t="str">
        <x:v>lymphodepleted</x:v>
      </x:c>
      <x:c r="E15" t="str"/>
      <x:c r="F15" t="str">
        <x:v>UNQUOTED</x:v>
      </x:c>
      <x:c r="G15" t="str"/>
      <x:c r="H15" t="str">
        <x:v>PENDING</x:v>
      </x:c>
    </x:row>
    <x:row r="16">
      <x:c r="A16" t="str">
        <x:v>C04</x:v>
      </x:c>
      <x:c r="B16" t="str">
        <x:v>Clinical</x:v>
      </x:c>
      <x:c r="C16" t="str">
        <x:v>Infusion and acute observation</x:v>
      </x:c>
      <x:c r="D16" t="str">
        <x:v>infused</x:v>
      </x:c>
      <x:c r="E16" t="str"/>
      <x:c r="F16" t="str">
        <x:v>UNQUOTED</x:v>
      </x:c>
      <x:c r="G16" t="str"/>
      <x:c r="H16" t="str">
        <x:v>PENDING</x:v>
      </x:c>
    </x:row>
    <x:row r="17">
      <x:c r="A17" t="str">
        <x:v>C05</x:v>
      </x:c>
      <x:c r="B17" t="str">
        <x:v>Clinical</x:v>
      </x:c>
      <x:c r="C17" t="str">
        <x:v>Follow-up and toxicity management</x:v>
      </x:c>
      <x:c r="D17" t="str">
        <x:v>infused</x:v>
      </x:c>
      <x:c r="E17" t="str"/>
      <x:c r="F17" t="str">
        <x:v>UNQUOTED</x:v>
      </x:c>
      <x:c r="G17" t="str"/>
      <x:c r="H17" t="str">
        <x:v>PENDING</x:v>
      </x:c>
    </x:row>
    <x:row r="18">
      <x:c r="A18" t="str">
        <x:v>G01</x:v>
      </x:c>
      <x:c r="B18" t="str">
        <x:v>Overhead</x:v>
      </x:c>
      <x:c r="C18" t="str">
        <x:v>Facility and quality system</x:v>
      </x:c>
      <x:c r="D18" t="str">
        <x:v>program</x:v>
      </x:c>
      <x:c r="E18" t="str"/>
      <x:c r="F18" t="str">
        <x:v>UNQUOTED</x:v>
      </x:c>
      <x:c r="G18" t="str"/>
      <x:c r="H18" t="str">
        <x:v>PENDING</x:v>
      </x:c>
    </x:row>
    <x:row r="19">
      <x:c r="A19" t="str">
        <x:v>G02</x:v>
      </x:c>
      <x:c r="B19" t="str">
        <x:v>Overhead</x:v>
      </x:c>
      <x:c r="C19" t="str">
        <x:v>Contracted personnel and QP</x:v>
      </x:c>
      <x:c r="D19" t="str">
        <x:v>program</x:v>
      </x:c>
      <x:c r="E19" t="str"/>
      <x:c r="F19" t="str">
        <x:v>UNQUOTED</x:v>
      </x:c>
      <x:c r="G19" t="str"/>
      <x:c r="H19" t="str">
        <x:v>PENDING</x:v>
      </x:c>
    </x:row>
    <x:row r="20">
      <x:c r="A20" t="str">
        <x:v>G03</x:v>
      </x:c>
      <x:c r="B20" t="str">
        <x:v>Overhead</x:v>
      </x:c>
      <x:c r="C20" t="str">
        <x:v>Regulatory insurance and documentation</x:v>
      </x:c>
      <x:c r="D20" t="str">
        <x:v>program</x:v>
      </x:c>
      <x:c r="E20" t="str"/>
      <x:c r="F20" t="str">
        <x:v>UNQUOTED</x:v>
      </x:c>
      <x:c r="G20" t="str"/>
      <x:c r="H20" t="str">
        <x:v>PENDING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9" hidden="0" customWidth="1"/>
    <x:col min="3" max="3" width="40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29" customHeight="1">
      <x:c r="A1" s="3" t="str">
        <x:v>Assay ID</x:v>
      </x:c>
      <x:c r="B1" s="3" t="str">
        <x:v>WBS</x:v>
      </x:c>
      <x:c r="C1" s="3" t="str">
        <x:v>Assay</x:v>
      </x:c>
      <x:c r="D1" s="3" t="str">
        <x:v>Dev hours</x:v>
      </x:c>
      <x:c r="E1" s="3" t="str">
        <x:v>Validation hours</x:v>
      </x:c>
      <x:c r="F1" s="3" t="str">
        <x:v>Routine hours</x:v>
      </x:c>
      <x:c r="G1" s="3" t="str">
        <x:v>Staff SEK/hr</x:v>
      </x:c>
      <x:c r="H1" s="3" t="str">
        <x:v>Kit SEK/run</x:v>
      </x:c>
      <x:c r="I1" s="3" t="str">
        <x:v>Consumables SEK/run</x:v>
      </x:c>
      <x:c r="J1" s="3" t="str">
        <x:v>Runs/unit</x:v>
      </x:c>
      <x:c r="K1" s="3" t="str">
        <x:v>Driver</x:v>
      </x:c>
      <x:c r="L1" s="3" t="str">
        <x:v>Evidence</x:v>
      </x:c>
    </x:row>
    <x:row r="2">
      <x:c r="A2" t="str">
        <x:v>A01</x:v>
      </x:c>
      <x:c r="B2" t="str">
        <x:v>V05</x:v>
      </x:c>
      <x:c r="C2" t="str">
        <x:v>Vector identity</x:v>
      </x:c>
      <x:c r="D2"/>
      <x:c r="E2"/>
      <x:c r="F2"/>
      <x:c r="G2"/>
      <x:c r="H2"/>
      <x:c r="I2"/>
      <x:c r="J2" t="str">
        <x:v>1</x:v>
      </x:c>
      <x:c r="K2" t="str">
        <x:v>vector_attempts</x:v>
      </x:c>
      <x:c r="L2" t="str">
        <x:v>UNQUOTED</x:v>
      </x:c>
    </x:row>
    <x:row r="3">
      <x:c r="A3" t="str">
        <x:v>A02</x:v>
      </x:c>
      <x:c r="B3" t="str">
        <x:v>V05</x:v>
      </x:c>
      <x:c r="C3" t="str">
        <x:v>Vector functional titer</x:v>
      </x:c>
      <x:c r="D3"/>
      <x:c r="E3"/>
      <x:c r="F3"/>
      <x:c r="G3"/>
      <x:c r="H3"/>
      <x:c r="I3"/>
      <x:c r="J3" t="str">
        <x:v>1</x:v>
      </x:c>
      <x:c r="K3" t="str">
        <x:v>vector_attempts</x:v>
      </x:c>
      <x:c r="L3" t="str">
        <x:v>UNQUOTED</x:v>
      </x:c>
    </x:row>
    <x:row r="4">
      <x:c r="A4" t="str">
        <x:v>A03</x:v>
      </x:c>
      <x:c r="B4" t="str">
        <x:v>V05</x:v>
      </x:c>
      <x:c r="C4" t="str">
        <x:v>Replication competent retrovirus</x:v>
      </x:c>
      <x:c r="D4"/>
      <x:c r="E4"/>
      <x:c r="F4"/>
      <x:c r="G4"/>
      <x:c r="H4"/>
      <x:c r="I4"/>
      <x:c r="J4" t="str">
        <x:v>1</x:v>
      </x:c>
      <x:c r="K4" t="str">
        <x:v>vector_attempts</x:v>
      </x:c>
      <x:c r="L4" t="str">
        <x:v>UNQUOTED</x:v>
      </x:c>
    </x:row>
    <x:row r="5">
      <x:c r="A5" t="str">
        <x:v>A04</x:v>
      </x:c>
      <x:c r="B5" t="str">
        <x:v>V05</x:v>
      </x:c>
      <x:c r="C5" t="str">
        <x:v>Vector sterility and mycoplasma</x:v>
      </x:c>
      <x:c r="D5"/>
      <x:c r="E5"/>
      <x:c r="F5"/>
      <x:c r="G5"/>
      <x:c r="H5"/>
      <x:c r="I5"/>
      <x:c r="J5" t="str">
        <x:v>1</x:v>
      </x:c>
      <x:c r="K5" t="str">
        <x:v>vector_attempts</x:v>
      </x:c>
      <x:c r="L5" t="str">
        <x:v>UNQUOTED</x:v>
      </x:c>
    </x:row>
    <x:row r="6">
      <x:c r="A6" t="str">
        <x:v>A05</x:v>
      </x:c>
      <x:c r="B6" t="str">
        <x:v>V05</x:v>
      </x:c>
      <x:c r="C6" t="str">
        <x:v>Vector endotoxin and impurities</x:v>
      </x:c>
      <x:c r="D6"/>
      <x:c r="E6"/>
      <x:c r="F6"/>
      <x:c r="G6"/>
      <x:c r="H6"/>
      <x:c r="I6"/>
      <x:c r="J6" t="str">
        <x:v>1</x:v>
      </x:c>
      <x:c r="K6" t="str">
        <x:v>vector_attempts</x:v>
      </x:c>
      <x:c r="L6" t="str">
        <x:v>UNQUOTED</x:v>
      </x:c>
    </x:row>
    <x:row r="7">
      <x:c r="A7" t="str">
        <x:v>A06</x:v>
      </x:c>
      <x:c r="B7" t="str">
        <x:v>V05</x:v>
      </x:c>
      <x:c r="C7" t="str">
        <x:v>Vector stability</x:v>
      </x:c>
      <x:c r="D7"/>
      <x:c r="E7"/>
      <x:c r="F7"/>
      <x:c r="G7"/>
      <x:c r="H7"/>
      <x:c r="I7"/>
      <x:c r="J7" t="str">
        <x:v>1</x:v>
      </x:c>
      <x:c r="K7" t="str">
        <x:v>vector_attempts</x:v>
      </x:c>
      <x:c r="L7" t="str">
        <x:v>UNQUOTED</x:v>
      </x:c>
    </x:row>
    <x:row r="8">
      <x:c r="A8" t="str">
        <x:v>A07</x:v>
      </x:c>
      <x:c r="B8" t="str">
        <x:v>M02</x:v>
      </x:c>
      <x:c r="C8" t="str">
        <x:v>Incoming cell count and viability</x:v>
      </x:c>
      <x:c r="D8"/>
      <x:c r="E8"/>
      <x:c r="F8"/>
      <x:c r="G8"/>
      <x:c r="H8"/>
      <x:c r="I8"/>
      <x:c r="J8" t="str">
        <x:v>1</x:v>
      </x:c>
      <x:c r="K8" t="str">
        <x:v>starts</x:v>
      </x:c>
      <x:c r="L8" t="str">
        <x:v>UNQUOTED</x:v>
      </x:c>
    </x:row>
    <x:row r="9">
      <x:c r="A9" t="str">
        <x:v>A08</x:v>
      </x:c>
      <x:c r="B9" t="str">
        <x:v>M05</x:v>
      </x:c>
      <x:c r="C9" t="str">
        <x:v>CAR expression flow</x:v>
      </x:c>
      <x:c r="D9"/>
      <x:c r="E9"/>
      <x:c r="F9"/>
      <x:c r="G9"/>
      <x:c r="H9"/>
      <x:c r="I9"/>
      <x:c r="J9" t="str">
        <x:v>1</x:v>
      </x:c>
      <x:c r="K9" t="str">
        <x:v>manufactured</x:v>
      </x:c>
      <x:c r="L9" t="str">
        <x:v>UNQUOTED</x:v>
      </x:c>
    </x:row>
    <x:row r="10">
      <x:c r="A10" t="str">
        <x:v>A09</x:v>
      </x:c>
      <x:c r="B10" t="str">
        <x:v>M05</x:v>
      </x:c>
      <x:c r="C10" t="str">
        <x:v>Identity and phenotype</x:v>
      </x:c>
      <x:c r="D10"/>
      <x:c r="E10"/>
      <x:c r="F10"/>
      <x:c r="G10"/>
      <x:c r="H10"/>
      <x:c r="I10"/>
      <x:c r="J10" t="str">
        <x:v>1</x:v>
      </x:c>
      <x:c r="K10" t="str">
        <x:v>manufactured</x:v>
      </x:c>
      <x:c r="L10" t="str">
        <x:v>UNQUOTED</x:v>
      </x:c>
    </x:row>
    <x:row r="11">
      <x:c r="A11" t="str">
        <x:v>A10</x:v>
      </x:c>
      <x:c r="B11" t="str">
        <x:v>M05</x:v>
      </x:c>
      <x:c r="C11" t="str">
        <x:v>CAR-T potency</x:v>
      </x:c>
      <x:c r="D11"/>
      <x:c r="E11"/>
      <x:c r="F11"/>
      <x:c r="G11"/>
      <x:c r="H11"/>
      <x:c r="I11"/>
      <x:c r="J11" t="str">
        <x:v>1</x:v>
      </x:c>
      <x:c r="K11" t="str">
        <x:v>manufactured</x:v>
      </x:c>
      <x:c r="L11" t="str">
        <x:v>UNQUOTED</x:v>
      </x:c>
    </x:row>
    <x:row r="12">
      <x:c r="A12" t="str">
        <x:v>A11</x:v>
      </x:c>
      <x:c r="B12" t="str">
        <x:v>M05</x:v>
      </x:c>
      <x:c r="C12" t="str">
        <x:v>Sterility and mycoplasma</x:v>
      </x:c>
      <x:c r="D12"/>
      <x:c r="E12"/>
      <x:c r="F12"/>
      <x:c r="G12"/>
      <x:c r="H12"/>
      <x:c r="I12"/>
      <x:c r="J12" t="str">
        <x:v>1</x:v>
      </x:c>
      <x:c r="K12" t="str">
        <x:v>manufactured</x:v>
      </x:c>
      <x:c r="L12" t="str">
        <x:v>UNQUOTED</x:v>
      </x:c>
    </x:row>
    <x:row r="13">
      <x:c r="A13" t="str">
        <x:v>A12</x:v>
      </x:c>
      <x:c r="B13" t="str">
        <x:v>M05</x:v>
      </x:c>
      <x:c r="C13" t="str">
        <x:v>CAR-T endotoxin</x:v>
      </x:c>
      <x:c r="D13"/>
      <x:c r="E13"/>
      <x:c r="F13"/>
      <x:c r="G13"/>
      <x:c r="H13"/>
      <x:c r="I13"/>
      <x:c r="J13" t="str">
        <x:v>1</x:v>
      </x:c>
      <x:c r="K13" t="str">
        <x:v>manufactured</x:v>
      </x:c>
      <x:c r="L13" t="str">
        <x:v>UNQUOTED</x:v>
      </x:c>
    </x:row>
    <x:row r="14">
      <x:c r="A14" t="str">
        <x:v>A13</x:v>
      </x:c>
      <x:c r="B14" t="str">
        <x:v>M05</x:v>
      </x:c>
      <x:c r="C14" t="str">
        <x:v>VCN qPCR or ddPCR</x:v>
      </x:c>
      <x:c r="D14"/>
      <x:c r="E14"/>
      <x:c r="F14"/>
      <x:c r="G14"/>
      <x:c r="H14"/>
      <x:c r="I14"/>
      <x:c r="J14" t="str">
        <x:v>1</x:v>
      </x:c>
      <x:c r="K14" t="str">
        <x:v>manufactured</x:v>
      </x:c>
      <x:c r="L14" t="str">
        <x:v>UNQUOTED</x:v>
      </x:c>
    </x:row>
    <x:row r="15">
      <x:c r="A15" t="str">
        <x:v>A14</x:v>
      </x:c>
      <x:c r="B15" t="str">
        <x:v>M06</x:v>
      </x:c>
      <x:c r="C15" t="str">
        <x:v>Post-thaw viability</x:v>
      </x:c>
      <x:c r="D15"/>
      <x:c r="E15"/>
      <x:c r="F15"/>
      <x:c r="G15"/>
      <x:c r="H15"/>
      <x:c r="I15"/>
      <x:c r="J15" t="str">
        <x:v>1</x:v>
      </x:c>
      <x:c r="K15" t="str">
        <x:v>released</x:v>
      </x:c>
      <x:c r="L15" t="str">
        <x:v>UNQUOTED</x:v>
      </x:c>
    </x:row>
    <x:row r="16">
      <x:c r="A16" t="str">
        <x:v>A15</x:v>
      </x:c>
      <x:c r="B16" t="str">
        <x:v>C05</x:v>
      </x:c>
      <x:c r="C16" t="str">
        <x:v>Clinical follow-up labs</x:v>
      </x:c>
      <x:c r="D16"/>
      <x:c r="E16"/>
      <x:c r="F16"/>
      <x:c r="G16"/>
      <x:c r="H16"/>
      <x:c r="I16"/>
      <x:c r="J16" t="str">
        <x:v>1</x:v>
      </x:c>
      <x:c r="K16" t="str">
        <x:v>infused</x:v>
      </x:c>
      <x:c r="L16" t="str">
        <x:v>UNQUOTED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29" customHeight="1">
      <x:c r="A1" s="3" t="str">
        <x:v>Item ID</x:v>
      </x:c>
      <x:c r="B1" s="3" t="str">
        <x:v>Vendor</x:v>
      </x:c>
      <x:c r="C1" s="3" t="str">
        <x:v>SKU</x:v>
      </x:c>
      <x:c r="D1" s="3" t="str">
        <x:v>Grade</x:v>
      </x:c>
      <x:c r="E1" s="3" t="str">
        <x:v>Pack units</x:v>
      </x:c>
      <x:c r="F1" s="3" t="str">
        <x:v>Pack price</x:v>
      </x:c>
      <x:c r="G1" s="3" t="str">
        <x:v>Currency</x:v>
      </x:c>
      <x:c r="H1" s="3" t="str">
        <x:v>FX to SEK</x:v>
      </x:c>
      <x:c r="I1" s="3" t="str">
        <x:v>SEK per unit</x:v>
      </x:c>
      <x:c r="J1" s="3" t="str">
        <x:v>Date</x:v>
      </x:c>
      <x:c r="K1" s="3" t="str">
        <x:v>Source URL</x:v>
      </x:c>
      <x:c r="L1" s="3" t="str">
        <x:v>Status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9" hidden="0" customWidth="1"/>
    <x:col min="3" max="3" width="40" hidden="0" customWidth="1"/>
    <x:col min="4" max="4" width="19" hidden="0" customWidth="1"/>
  </x:cols>
  <x:sheetData>
    <x:row r="1" ht="29" customHeight="1">
      <x:c r="A1" s="3" t="str">
        <x:v>Stage</x:v>
      </x:c>
      <x:c r="B1" s="3" t="str">
        <x:v>Driver</x:v>
      </x:c>
      <x:c r="C1" s="3" t="str">
        <x:v>Owner</x:v>
      </x:c>
      <x:c r="D1" s="3" t="str">
        <x:v>Price status</x:v>
      </x:c>
    </x:row>
    <x:row r="2">
      <x:c r="A2" t="str">
        <x:v>Screening</x:v>
      </x:c>
      <x:c r="B2" t="str">
        <x:v>screened</x:v>
      </x:c>
      <x:c r="C2" t="str">
        <x:v>Hospital</x:v>
      </x:c>
      <x:c r="D2" t="str">
        <x:v>UNQUOTED</x:v>
      </x:c>
    </x:row>
    <x:row r="3">
      <x:c r="A3" t="str">
        <x:v>Leukapheresis</x:v>
      </x:c>
      <x:c r="B3" t="str">
        <x:v>collections</x:v>
      </x:c>
      <x:c r="C3" t="str">
        <x:v>Hospital</x:v>
      </x:c>
      <x:c r="D3" t="str">
        <x:v>UNQUOTED</x:v>
      </x:c>
    </x:row>
    <x:row r="4">
      <x:c r="A4" t="str">
        <x:v>Lymphodepletion</x:v>
      </x:c>
      <x:c r="B4" t="str">
        <x:v>lymphodepleted</x:v>
      </x:c>
      <x:c r="C4" t="str">
        <x:v>Hospital</x:v>
      </x:c>
      <x:c r="D4" t="str">
        <x:v>UNQUOTED</x:v>
      </x:c>
    </x:row>
    <x:row r="5">
      <x:c r="A5" t="str">
        <x:v>Infusion</x:v>
      </x:c>
      <x:c r="B5" t="str">
        <x:v>infused</x:v>
      </x:c>
      <x:c r="C5" t="str">
        <x:v>Hospital</x:v>
      </x:c>
      <x:c r="D5" t="str">
        <x:v>UNQUOTED</x:v>
      </x:c>
    </x:row>
    <x:row r="6">
      <x:c r="A6" t="str">
        <x:v>CRS/ICANS and ICU</x:v>
      </x:c>
      <x:c r="B6" t="str">
        <x:v>event cases</x:v>
      </x:c>
      <x:c r="C6" t="str">
        <x:v>Hospital</x:v>
      </x:c>
      <x:c r="D6" t="str">
        <x:v>UNQUOTED</x:v>
      </x:c>
    </x:row>
    <x:row r="7">
      <x:c r="A7" t="str">
        <x:v>Follow-up</x:v>
      </x:c>
      <x:c r="B7" t="str">
        <x:v>infused</x:v>
      </x:c>
      <x:c r="C7" t="str">
        <x:v>Hospital</x:v>
      </x:c>
      <x:c r="D7" t="str">
        <x:v>UNQUOTED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29" customHeight="1">
      <x:c r="A1" s="3" t="str">
        <x:v>Scenario</x:v>
      </x:c>
      <x:c r="B1" s="3" t="str">
        <x:v>Vector SEK</x:v>
      </x:c>
      <x:c r="C1" s="3" t="str">
        <x:v>GMP SEK</x:v>
      </x:c>
      <x:c r="D1" s="3" t="str">
        <x:v>Clinical SEK</x:v>
      </x:c>
      <x:c r="E1" s="3" t="str">
        <x:v>Overhead SEK</x:v>
      </x:c>
      <x:c r="F1" s="3" t="str">
        <x:v>Assays SEK</x:v>
      </x:c>
      <x:c r="G1" s="3" t="str">
        <x:v>Contingency SEK</x:v>
      </x:c>
      <x:c r="H1" s="3" t="str">
        <x:v>Approved total SEK</x:v>
      </x:c>
      <x:c r="I1" s="3" t="str">
        <x:v>Evidence status</x:v>
      </x:c>
    </x:row>
    <x:row r="2">
      <x:c r="A2" t="str">
        <x:v>Low</x:v>
      </x:c>
      <x:c r="B2"/>
      <x:c r="C2"/>
      <x:c r="D2"/>
      <x:c r="E2"/>
      <x:c r="F2"/>
      <x:c r="G2"/>
      <x:c r="H2"/>
      <x:c r="I2" t="str">
        <x:v>UNQUOTED</x:v>
      </x:c>
    </x:row>
    <x:row r="3">
      <x:c r="A3" t="str">
        <x:v>Base</x:v>
      </x:c>
      <x:c r="B3"/>
      <x:c r="C3"/>
      <x:c r="D3"/>
      <x:c r="E3"/>
      <x:c r="F3"/>
      <x:c r="G3"/>
      <x:c r="H3"/>
      <x:c r="I3" t="str">
        <x:v>UNQUOTED</x:v>
      </x:c>
    </x:row>
    <x:row r="4">
      <x:c r="A4" t="str">
        <x:v>High</x:v>
      </x:c>
      <x:c r="B4"/>
      <x:c r="C4"/>
      <x:c r="D4"/>
      <x:c r="E4"/>
      <x:c r="F4"/>
      <x:c r="G4"/>
      <x:c r="H4"/>
      <x:c r="I4" t="str">
        <x:v>UNQUOTED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29" customHeight="1">
      <x:c r="A1" s="3" t="str">
        <x:v>Layer</x:v>
      </x:c>
      <x:c r="B1" s="3" t="str">
        <x:v>Review</x:v>
      </x:c>
      <x:c r="C1" s="3" t="str">
        <x:v>Status</x:v>
      </x:c>
      <x:c r="D1" s="3" t="str">
        <x:v>Owner</x:v>
      </x:c>
      <x:c r="E1" s="3" t="str">
        <x:v>Finding ID</x:v>
      </x:c>
      <x:c r="F1" s="3" t="str">
        <x:v>Evidence</x:v>
      </x:c>
      <x:c r="G1" s="3" t="str">
        <x:v>Corrective action</x:v>
      </x:c>
    </x:row>
    <x:row r="2">
      <x:c r="A2" t="str">
        <x:v>Demand</x:v>
      </x:c>
      <x:c r="B2" t="str">
        <x:v>Completeness</x:v>
      </x:c>
      <x:c r="C2" t="str">
        <x:v>PENDING</x:v>
      </x:c>
      <x:c r="D2" t="str"/>
      <x:c r="E2" t="str"/>
      <x:c r="F2" t="str"/>
      <x:c r="G2" t="str"/>
    </x:row>
    <x:row r="3">
      <x:c r="A3" t="str">
        <x:v>Demand</x:v>
      </x:c>
      <x:c r="B3" t="str">
        <x:v>Evidence</x:v>
      </x:c>
      <x:c r="C3" t="str">
        <x:v>PENDING</x:v>
      </x:c>
      <x:c r="D3" t="str"/>
      <x:c r="E3" t="str"/>
      <x:c r="F3" t="str"/>
      <x:c r="G3" t="str"/>
    </x:row>
    <x:row r="4">
      <x:c r="A4" t="str">
        <x:v>Demand</x:v>
      </x:c>
      <x:c r="B4" t="str">
        <x:v>Reconciliation</x:v>
      </x:c>
      <x:c r="C4" t="str">
        <x:v>PENDING</x:v>
      </x:c>
      <x:c r="D4" t="str"/>
      <x:c r="E4" t="str"/>
      <x:c r="F4" t="str"/>
      <x:c r="G4" t="str"/>
    </x:row>
    <x:row r="5">
      <x:c r="A5" t="str">
        <x:v>Vector</x:v>
      </x:c>
      <x:c r="B5" t="str">
        <x:v>Completeness</x:v>
      </x:c>
      <x:c r="C5" t="str">
        <x:v>PENDING</x:v>
      </x:c>
      <x:c r="D5" t="str"/>
      <x:c r="E5" t="str"/>
      <x:c r="F5" t="str"/>
      <x:c r="G5" t="str"/>
    </x:row>
    <x:row r="6">
      <x:c r="A6" t="str">
        <x:v>Vector</x:v>
      </x:c>
      <x:c r="B6" t="str">
        <x:v>Evidence</x:v>
      </x:c>
      <x:c r="C6" t="str">
        <x:v>PENDING</x:v>
      </x:c>
      <x:c r="D6" t="str"/>
      <x:c r="E6" t="str"/>
      <x:c r="F6" t="str"/>
      <x:c r="G6" t="str"/>
    </x:row>
    <x:row r="7">
      <x:c r="A7" t="str">
        <x:v>Vector</x:v>
      </x:c>
      <x:c r="B7" t="str">
        <x:v>Reconciliation</x:v>
      </x:c>
      <x:c r="C7" t="str">
        <x:v>PENDING</x:v>
      </x:c>
      <x:c r="D7" t="str"/>
      <x:c r="E7" t="str"/>
      <x:c r="F7" t="str"/>
      <x:c r="G7" t="str"/>
    </x:row>
    <x:row r="8">
      <x:c r="A8" t="str">
        <x:v>Manufacturing</x:v>
      </x:c>
      <x:c r="B8" t="str">
        <x:v>Completeness</x:v>
      </x:c>
      <x:c r="C8" t="str">
        <x:v>PENDING</x:v>
      </x:c>
      <x:c r="D8" t="str"/>
      <x:c r="E8" t="str"/>
      <x:c r="F8" t="str"/>
      <x:c r="G8" t="str"/>
    </x:row>
    <x:row r="9">
      <x:c r="A9" t="str">
        <x:v>Manufacturing</x:v>
      </x:c>
      <x:c r="B9" t="str">
        <x:v>Evidence</x:v>
      </x:c>
      <x:c r="C9" t="str">
        <x:v>PENDING</x:v>
      </x:c>
      <x:c r="D9" t="str"/>
      <x:c r="E9" t="str"/>
      <x:c r="F9" t="str"/>
      <x:c r="G9" t="str"/>
    </x:row>
    <x:row r="10">
      <x:c r="A10" t="str">
        <x:v>Manufacturing</x:v>
      </x:c>
      <x:c r="B10" t="str">
        <x:v>Reconciliation</x:v>
      </x:c>
      <x:c r="C10" t="str">
        <x:v>PENDING</x:v>
      </x:c>
      <x:c r="D10" t="str"/>
      <x:c r="E10" t="str"/>
      <x:c r="F10" t="str"/>
      <x:c r="G10" t="str"/>
    </x:row>
    <x:row r="11">
      <x:c r="A11" t="str">
        <x:v>Assays</x:v>
      </x:c>
      <x:c r="B11" t="str">
        <x:v>Completeness</x:v>
      </x:c>
      <x:c r="C11" t="str">
        <x:v>PENDING</x:v>
      </x:c>
      <x:c r="D11" t="str"/>
      <x:c r="E11" t="str"/>
      <x:c r="F11" t="str"/>
      <x:c r="G11" t="str"/>
    </x:row>
    <x:row r="12">
      <x:c r="A12" t="str">
        <x:v>Assays</x:v>
      </x:c>
      <x:c r="B12" t="str">
        <x:v>Evidence</x:v>
      </x:c>
      <x:c r="C12" t="str">
        <x:v>PENDING</x:v>
      </x:c>
      <x:c r="D12" t="str"/>
      <x:c r="E12" t="str"/>
      <x:c r="F12" t="str"/>
      <x:c r="G12" t="str"/>
    </x:row>
    <x:row r="13">
      <x:c r="A13" t="str">
        <x:v>Assays</x:v>
      </x:c>
      <x:c r="B13" t="str">
        <x:v>Reconciliation</x:v>
      </x:c>
      <x:c r="C13" t="str">
        <x:v>PENDING</x:v>
      </x:c>
      <x:c r="D13" t="str"/>
      <x:c r="E13" t="str"/>
      <x:c r="F13" t="str"/>
      <x:c r="G13" t="str"/>
    </x:row>
    <x:row r="14">
      <x:c r="A14" t="str">
        <x:v>Finance</x:v>
      </x:c>
      <x:c r="B14" t="str">
        <x:v>Completeness</x:v>
      </x:c>
      <x:c r="C14" t="str">
        <x:v>PENDING</x:v>
      </x:c>
      <x:c r="D14" t="str"/>
      <x:c r="E14" t="str"/>
      <x:c r="F14" t="str"/>
      <x:c r="G14" t="str"/>
    </x:row>
    <x:row r="15">
      <x:c r="A15" t="str">
        <x:v>Finance</x:v>
      </x:c>
      <x:c r="B15" t="str">
        <x:v>Evidence</x:v>
      </x:c>
      <x:c r="C15" t="str">
        <x:v>PENDING</x:v>
      </x:c>
      <x:c r="D15" t="str"/>
      <x:c r="E15" t="str"/>
      <x:c r="F15" t="str"/>
      <x:c r="G15" t="str"/>
    </x:row>
    <x:row r="16">
      <x:c r="A16" t="str">
        <x:v>Finance</x:v>
      </x:c>
      <x:c r="B16" t="str">
        <x:v>Reconciliation</x:v>
      </x:c>
      <x:c r="C16" t="str">
        <x:v>PENDING</x:v>
      </x:c>
      <x:c r="D16" t="str"/>
      <x:c r="E16" t="str"/>
      <x:c r="F16" t="str"/>
      <x:c r="G16" t="str"/>
    </x:row>
    <x:row r="17">
      <x:c r="A17" t="str">
        <x:v>Master</x:v>
      </x:c>
      <x:c r="B17" t="str">
        <x:v>Completeness</x:v>
      </x:c>
      <x:c r="C17" t="str">
        <x:v>PENDING</x:v>
      </x:c>
      <x:c r="D17" t="str"/>
      <x:c r="E17" t="str"/>
      <x:c r="F17" t="str"/>
      <x:c r="G17" t="str"/>
    </x:row>
    <x:row r="18">
      <x:c r="A18" t="str">
        <x:v>Master</x:v>
      </x:c>
      <x:c r="B18" t="str">
        <x:v>Evidence</x:v>
      </x:c>
      <x:c r="C18" t="str">
        <x:v>PENDING</x:v>
      </x:c>
      <x:c r="D18" t="str"/>
      <x:c r="E18" t="str"/>
      <x:c r="F18" t="str"/>
      <x:c r="G18" t="str"/>
    </x:row>
    <x:row r="19">
      <x:c r="A19" t="str">
        <x:v>Master</x:v>
      </x:c>
      <x:c r="B19" t="str">
        <x:v>Reconciliation</x:v>
      </x:c>
      <x:c r="C19" t="str">
        <x:v>PENDING</x:v>
      </x:c>
      <x:c r="D19" t="str"/>
      <x:c r="E19" t="str"/>
      <x:c r="F19" t="str"/>
      <x:c r="G19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9" customHeight="1">
      <x:c r="A1" s="3" t="str">
        <x:v>Milestone</x:v>
      </x:c>
      <x:c r="B1" s="3" t="str">
        <x:v>Month</x:v>
      </x:c>
      <x:c r="C1" s="3" t="str">
        <x:v>Cash SEK</x:v>
      </x:c>
      <x:c r="D1" s="3" t="str">
        <x:v>Quote status</x:v>
      </x:c>
      <x:c r="E1" s="3" t="str">
        <x:v>Payment trigger</x:v>
      </x:c>
    </x:row>
    <x:row r="2">
      <x:c r="A2" t="str">
        <x:v>Vector contract</x:v>
      </x:c>
      <x:c r="B2"/>
      <x:c r="C2"/>
      <x:c r="D2" t="str">
        <x:v>UNQUOTED</x:v>
      </x:c>
      <x:c r="E2" t="str">
        <x:v>Contract signature</x:v>
      </x:c>
    </x:row>
    <x:row r="3">
      <x:c r="A3" t="str">
        <x:v>Vector release</x:v>
      </x:c>
      <x:c r="B3"/>
      <x:c r="C3"/>
      <x:c r="D3" t="str">
        <x:v>UNQUOTED</x:v>
      </x:c>
      <x:c r="E3" t="str">
        <x:v>Batch acceptance</x:v>
      </x:c>
    </x:row>
    <x:row r="4">
      <x:c r="A4" t="str">
        <x:v>CAR-T manufacturing</x:v>
      </x:c>
      <x:c r="B4"/>
      <x:c r="C4"/>
      <x:c r="D4" t="str">
        <x:v>UNQUOTED</x:v>
      </x:c>
      <x:c r="E4" t="str">
        <x:v>Manufacturing starts</x:v>
      </x:c>
    </x:row>
    <x:row r="5">
      <x:c r="A5" t="str">
        <x:v>Clinical delivery</x:v>
      </x:c>
      <x:c r="B5"/>
      <x:c r="C5"/>
      <x:c r="D5" t="str">
        <x:v>UNQUOTED</x:v>
      </x:c>
      <x:c r="E5" t="str">
        <x:v>Treatment events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8" t="str">
        <x:v>Scenario</x:v>
      </x:c>
      <x:c r="B1" s="8" t="str">
        <x:v>Constructs</x:v>
      </x:c>
      <x:c r="C1" s="8" t="str">
        <x:v>Planned GMP lots</x:v>
      </x:c>
      <x:c r="D1" s="8" t="str">
        <x:v>Nominal starts / lot</x:v>
      </x:c>
      <x:c r="E1" s="8" t="str">
        <x:v>Additional lots approved</x:v>
      </x:c>
      <x:c r="F1" s="8" t="str">
        <x:v>Policy / capacity note</x:v>
      </x:c>
    </x:row>
    <x:row r="2">
      <x:c r="A2" t="str">
        <x:v>low</x:v>
      </x:c>
      <x:c r="B2" t="n">
        <x:v>1</x:v>
      </x:c>
      <x:c r="C2" t="n">
        <x:v>1</x:v>
      </x:c>
      <x:c r="D2" t="n">
        <x:v>16</x:v>
      </x:c>
      <x:c r="E2" t="n">
        <x:v>0</x:v>
      </x:c>
      <x:c r="F2" t="str">
        <x:v>ONE shared vector; capacity NOT supplier verified</x:v>
      </x:c>
    </x:row>
    <x:row r="3">
      <x:c r="A3" t="str">
        <x:v>base</x:v>
      </x:c>
      <x:c r="B3" t="n">
        <x:v>1</x:v>
      </x:c>
      <x:c r="C3" t="n">
        <x:v>1</x:v>
      </x:c>
      <x:c r="D3" t="n">
        <x:v>12</x:v>
      </x:c>
      <x:c r="E3" t="n">
        <x:v>0</x:v>
      </x:c>
      <x:c r="F3" t="str">
        <x:v>ONE shared vector; capacity NOT supplier verified</x:v>
      </x:c>
    </x:row>
    <x:row r="4">
      <x:c r="A4" t="str">
        <x:v>high</x:v>
      </x:c>
      <x:c r="B4" t="n">
        <x:v>1</x:v>
      </x:c>
      <x:c r="C4" t="n">
        <x:v>1</x:v>
      </x:c>
      <x:c r="D4" t="n">
        <x:v>8</x:v>
      </x:c>
      <x:c r="E4" t="n">
        <x:v>0</x:v>
      </x:c>
      <x:c r="F4" t="str">
        <x:v>ONE shared vector; capacity NOT supplier verified</x:v>
      </x:c>
    </x:row>
    <x:row r="6">
      <x:c r="A6" t="str">
        <x:v>Policy item</x:v>
      </x:c>
      <x:c r="B6" t="str">
        <x:v>Rule</x:v>
      </x:c>
    </x:row>
    <x:row r="7">
      <x:c r="A7" t="str">
        <x:v>Vector construct</x:v>
      </x:c>
      <x:c r="B7" t="str">
        <x:v>ONE identical construct across all patients</x:v>
      </x:c>
    </x:row>
    <x:row r="8">
      <x:c r="A8" t="str">
        <x:v>Development / tech transfer</x:v>
      </x:c>
      <x:c r="B8" t="str">
        <x:v>ONE project-level charge</x:v>
      </x:c>
    </x:row>
    <x:row r="9">
      <x:c r="A9" t="str">
        <x:v>Vector GMP manufacture and lot release</x:v>
      </x:c>
      <x:c r="B9" t="str">
        <x:v>ONE planned lot; extra lot only if explicitly authorized</x:v>
      </x:c>
    </x:row>
    <x:row r="10">
      <x:c r="A10" t="str">
        <x:v>CAR-T manufacturing</x:v>
      </x:c>
      <x:c r="B10" t="str">
        <x:v>Separate autologous batch for each manufacturing start</x:v>
      </x:c>
    </x:row>
    <x:row r="12">
      <x:c r="A12" t="str">
        <x:v>Risk</x:v>
      </x:c>
      <x:c r="B12" t="str">
        <x:v>Required evidence</x:v>
      </x:c>
    </x:row>
    <x:row r="13">
      <x:c r="A13" t="str">
        <x:v>Single-lot capacity</x:v>
      </x:c>
      <x:c r="B13" t="str">
        <x:v>Released titer, usable volume, vector use per CAR-T batch, process loss, reserve</x:v>
      </x:c>
    </x:row>
    <x:row r="14">
      <x:c r="A14" t="str">
        <x:v>Single-lot failure</x:v>
      </x:c>
      <x:c r="B14" t="str">
        <x:v>Contingency and replacement lot decision; NOT automatically budgeted</x:v>
      </x:c>
    </x:row>
  </x:sheetData>
  <x:pageMargins left="0.7" right="0.7" top="0.75" bottom="0.75" header="0.3" footer="0.3"/>
</x:worksheet>
</file>