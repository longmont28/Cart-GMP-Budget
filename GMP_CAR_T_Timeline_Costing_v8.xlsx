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e2a00947f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Assumptions" sheetId="1" r:id="Rdafe69e35d974ed2"/>
    <x:sheet xmlns:r="http://schemas.openxmlformats.org/officeDocument/2006/relationships" name="02 Patient Scenarios" sheetId="2" r:id="Rdfb9d851793444d1"/>
    <x:sheet xmlns:r="http://schemas.openxmlformats.org/officeDocument/2006/relationships" name="03 Timeline BOM" sheetId="3" r:id="R1cfb12a980744734"/>
    <x:sheet xmlns:r="http://schemas.openxmlformats.org/officeDocument/2006/relationships" name="04 Timeline Index" sheetId="4" r:id="Rf9eaba6657ff458b"/>
    <x:sheet xmlns:r="http://schemas.openxmlformats.org/officeDocument/2006/relationships" name="05 Exclusions" sheetId="5" r:id="Rc8b7ee9140974648"/>
    <x:sheet xmlns:r="http://schemas.openxmlformats.org/officeDocument/2006/relationships" name="06 Pricing Guidance" sheetId="6" r:id="Re9fb10c7d1284394"/>
    <x:sheet xmlns:r="http://schemas.openxmlformats.org/officeDocument/2006/relationships" name="07 Cost Summary" sheetId="7" r:id="R5d3cdd4da2784a6e"/>
    <x:sheet xmlns:r="http://schemas.openxmlformats.org/officeDocument/2006/relationships" name="08 Audit &amp; Gaps" sheetId="8" r:id="R3768804dc7d14787"/>
    <x:sheet xmlns:r="http://schemas.openxmlformats.org/officeDocument/2006/relationships" name="09 Lot Register" sheetId="9" r:id="R0d2a3d3b86d7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0;[Red](#,##0.00);-"/>
    <x:numFmt numFmtId="202" formatCode="#,##0;[Red](#,##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F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885df2ed94c95" /><Relationship Type="http://schemas.openxmlformats.org/officeDocument/2006/relationships/theme" Target="/xl/theme/theme1.xml" Id="R47d3b0c5ee4c4f11" /><Relationship Type="http://schemas.openxmlformats.org/officeDocument/2006/relationships/sharedStrings" Target="/xl/sharedStrings.xml" Id="Rbbc92fd030254a3a" /><Relationship Type="http://schemas.openxmlformats.org/officeDocument/2006/relationships/worksheet" Target="/xl/worksheets/sheet1.xml" Id="Rdafe69e35d974ed2" /><Relationship Type="http://schemas.openxmlformats.org/officeDocument/2006/relationships/worksheet" Target="/xl/worksheets/sheet2.xml" Id="Rdfb9d851793444d1" /><Relationship Type="http://schemas.openxmlformats.org/officeDocument/2006/relationships/worksheet" Target="/xl/worksheets/sheet3.xml" Id="R1cfb12a980744734" /><Relationship Type="http://schemas.openxmlformats.org/officeDocument/2006/relationships/worksheet" Target="/xl/worksheets/sheet4.xml" Id="Rf9eaba6657ff458b" /><Relationship Type="http://schemas.openxmlformats.org/officeDocument/2006/relationships/worksheet" Target="/xl/worksheets/sheet5.xml" Id="Rc8b7ee9140974648" /><Relationship Type="http://schemas.openxmlformats.org/officeDocument/2006/relationships/worksheet" Target="/xl/worksheets/sheet6.xml" Id="Re9fb10c7d1284394" /><Relationship Type="http://schemas.openxmlformats.org/officeDocument/2006/relationships/worksheet" Target="/xl/worksheets/sheet7.xml" Id="R5d3cdd4da2784a6e" /><Relationship Type="http://schemas.openxmlformats.org/officeDocument/2006/relationships/worksheet" Target="/xl/worksheets/sheet8.xml" Id="R3768804dc7d14787" /><Relationship Type="http://schemas.openxmlformats.org/officeDocument/2006/relationships/worksheet" Target="/xl/worksheets/sheet9.xml" Id="R0d2a3d3b86d741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62" hidden="0" customWidth="1"/>
  </x:cols>
  <x:sheetData>
    <x:row r="1" ht="30" customHeight="1">
      <x:c r="A1" s="4" t="str">
        <x:v>Parameter</x:v>
      </x:c>
      <x:c r="B1" s="4" t="str">
        <x:v>50% scenario</x:v>
      </x:c>
      <x:c r="C1" s="4" t="str">
        <x:v>70% scenario</x:v>
      </x:c>
      <x:c r="D1" s="4" t="str">
        <x:v>90% scenario</x:v>
      </x:c>
      <x:c r="E1" s="4" t="str">
        <x:v>Notes</x:v>
      </x:c>
    </x:row>
    <x:row r="2">
      <x:c r="A2" t="str">
        <x:v>Target infused</x:v>
      </x:c>
      <x:c r="B2" s="10" t="n">
        <x:v>12</x:v>
      </x:c>
      <x:c r="C2" s="10" t="n">
        <x:v>12</x:v>
      </x:c>
      <x:c r="D2" s="10" t="n">
        <x:v>12</x:v>
      </x:c>
      <x:c r="E2" t="str">
        <x:v>Fixed final target, not enrolled</x:v>
      </x:c>
    </x:row>
    <x:row r="3">
      <x:c r="A3" t="str">
        <x:v>Screening success</x:v>
      </x:c>
      <x:c r="B3" s="11" t="n">
        <x:v>0.5</x:v>
      </x:c>
      <x:c r="C3" s="11" t="n">
        <x:v>0.7</x:v>
      </x:c>
      <x:c r="D3" s="11" t="n">
        <x:v>0.9</x:v>
      </x:c>
      <x:c r="E3" t="str">
        <x:v>Illustrative; independent from manufacturing</x:v>
      </x:c>
    </x:row>
    <x:row r="4">
      <x:c r="A4" t="str">
        <x:v>Manufacturing success</x:v>
      </x:c>
      <x:c r="B4" s="11" t="n">
        <x:v>0.5</x:v>
      </x:c>
      <x:c r="C4" s="11" t="n">
        <x:v>0.7</x:v>
      </x:c>
      <x:c r="D4" s="11" t="n">
        <x:v>0.9</x:v>
      </x:c>
      <x:c r="E4" t="str">
        <x:v>Illustrative conditional on starting</x:v>
      </x:c>
    </x:row>
    <x:row r="5">
      <x:c r="A5" t="str">
        <x:v>Collection success</x:v>
      </x:c>
      <x:c r="B5" s="11" t="n">
        <x:v>1</x:v>
      </x:c>
      <x:c r="C5" s="11" t="n">
        <x:v>1</x:v>
      </x:c>
      <x:c r="D5" s="11" t="n">
        <x:v>1</x:v>
      </x:c>
      <x:c r="E5" t="str">
        <x:v>Placeholder; change when evidence available</x:v>
      </x:c>
    </x:row>
    <x:row r="6">
      <x:c r="A6" t="str">
        <x:v>QC release success</x:v>
      </x:c>
      <x:c r="B6" s="11" t="n">
        <x:v>1</x:v>
      </x:c>
      <x:c r="C6" s="11" t="n">
        <x:v>1</x:v>
      </x:c>
      <x:c r="D6" s="11" t="n">
        <x:v>1</x:v>
      </x:c>
      <x:c r="E6" t="str">
        <x:v>Placeholder; manufacturing success must not double-count release</x:v>
      </x:c>
    </x:row>
    <x:row r="7">
      <x:c r="A7" t="str">
        <x:v>Post-release infusion success</x:v>
      </x:c>
      <x:c r="B7" s="11" t="n">
        <x:v>1</x:v>
      </x:c>
      <x:c r="C7" s="11" t="n">
        <x:v>1</x:v>
      </x:c>
      <x:c r="D7" s="11" t="n">
        <x:v>1</x:v>
      </x:c>
      <x:c r="E7" t="str">
        <x:v>Placeholder; change when evidence available</x:v>
      </x:c>
    </x:row>
    <x:row r="8">
      <x:c r="A8" t="str">
        <x:v>Target assurance probability</x:v>
      </x:c>
      <x:c r="B8" s="11" t="n">
        <x:v>0.9</x:v>
      </x:c>
      <x:c r="C8" s="11" t="n">
        <x:v>0.9</x:v>
      </x:c>
      <x:c r="D8" s="11" t="n">
        <x:v>0.9</x:v>
      </x:c>
      <x:c r="E8" t="str">
        <x:v>Probability of &gt;=12 infused; binomial approximation</x:v>
      </x:c>
    </x:row>
    <x:row r="9">
      <x:c r="A9" t="str">
        <x:v>Common vector constructs</x:v>
      </x:c>
      <x:c r="B9" s="10" t="n">
        <x:v>1</x:v>
      </x:c>
      <x:c r="C9" s="10" t="n">
        <x:v>1</x:v>
      </x:c>
      <x:c r="D9" s="10" t="n">
        <x:v>1</x:v>
      </x:c>
      <x:c r="E9" t="str">
        <x:v>Fixed same construct</x:v>
      </x:c>
    </x:row>
    <x:row r="10">
      <x:c r="A10" t="str">
        <x:v>Planned vector lots</x:v>
      </x:c>
      <x:c r="B10" s="10" t="n">
        <x:v>1</x:v>
      </x:c>
      <x:c r="C10" s="10" t="n">
        <x:v>1</x:v>
      </x:c>
      <x:c r="D10" s="10" t="n">
        <x:v>1</x:v>
      </x:c>
      <x:c r="E10" t="str">
        <x:v>Capacity UNVERIFIED; no automatic extra lot</x:v>
      </x:c>
    </x:row>
    <x:row r="11">
      <x:c r="A11" t="str">
        <x:v>Contingency</x:v>
      </x:c>
      <x:c r="B11" s="11" t="n">
        <x:v>0.1</x:v>
      </x:c>
      <x:c r="C11" s="11" t="n">
        <x:v>0.1</x:v>
      </x:c>
      <x:c r="D11" s="11" t="n">
        <x:v>0.1</x:v>
      </x:c>
      <x:c r="E11" t="str">
        <x:v>Illustrative; not a quotation</x:v>
      </x:c>
    </x:row>
    <x:row r="12">
      <x:c r="A12" t="str">
        <x:v>Months GMP facility</x:v>
      </x:c>
      <x:c r="B12" s="10" t="n">
        <x:v>12</x:v>
      </x:c>
      <x:c r="C12" s="10" t="n">
        <x:v>12</x:v>
      </x:c>
      <x:c r="D12" s="10" t="n">
        <x:v>12</x:v>
      </x:c>
      <x:c r="E12" t="str">
        <x:v>Editable project duration</x:v>
      </x:c>
    </x:row>
    <x:row r="13">
      <x:c r="A13" t="str">
        <x:v>Years equipment maintenance</x:v>
      </x:c>
      <x:c r="B13" s="10" t="n">
        <x:v>1</x:v>
      </x:c>
      <x:c r="C13" s="10" t="n">
        <x:v>1</x:v>
      </x:c>
      <x:c r="D13" s="10" t="n">
        <x:v>1</x:v>
      </x:c>
      <x:c r="E13" t="str">
        <x:v>Editable project duration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3" hidden="0" customWidth="1"/>
    <x:col min="4" max="4" width="23" hidden="0" customWidth="1"/>
    <x:col min="5" max="5" width="23" hidden="0" customWidth="1"/>
    <x:col min="6" max="6" width="26" hidden="0" customWidth="1"/>
    <x:col min="7" max="7" width="20" hidden="0" customWidth="1"/>
    <x:col min="8" max="8" width="18" hidden="0" customWidth="1"/>
    <x:col min="9" max="9" width="23" hidden="0" customWidth="1"/>
    <x:col min="10" max="10" width="29" hidden="0" customWidth="1"/>
    <x:col min="11" max="11" width="55" hidden="0" customWidth="1"/>
  </x:cols>
  <x:sheetData>
    <x:row r="1" ht="30" customHeight="1">
      <x:c r="A1" s="4" t="str">
        <x:v>Scenario</x:v>
      </x:c>
      <x:c r="B1" s="4" t="str">
        <x:v>Screening success</x:v>
      </x:c>
      <x:c r="C1" s="4" t="str">
        <x:v>Manufacturing success</x:v>
      </x:c>
      <x:c r="D1" s="4" t="str">
        <x:v>Expected joint success</x:v>
      </x:c>
      <x:c r="E1" s="4" t="str">
        <x:v>Screened for &gt;=90%</x:v>
      </x:c>
      <x:c r="F1" s="4" t="str">
        <x:v>Expected collected / starts</x:v>
      </x:c>
      <x:c r="G1" s="4" t="str">
        <x:v>Expected infused</x:v>
      </x:c>
      <x:c r="H1" s="4" t="str">
        <x:v>Target infused</x:v>
      </x:c>
      <x:c r="I1" s="4" t="str">
        <x:v>Probability &gt;=12</x:v>
      </x:c>
      <x:c r="J1" s="4" t="str">
        <x:v>Expected cost per infusion SEK</x:v>
      </x:c>
      <x:c r="K1" s="4" t="str">
        <x:v>Note</x:v>
      </x:c>
    </x:row>
    <x:row r="2">
      <x:c r="A2" t="str">
        <x:v>50% / 50%</x:v>
      </x:c>
      <x:c r="B2" s="8" t="n">
        <x:f>'01 Assumptions'!B3</x:f>
        <x:v>0.5</x:v>
      </x:c>
      <x:c r="C2" s="8" t="n">
        <x:f>'01 Assumptions'!B4</x:f>
        <x:v>0.5</x:v>
      </x:c>
      <x:c r="D2" s="8" t="n">
        <x:f>B2*C2*'01 Assumptions'!B5*'01 Assumptions'!B6*'01 Assumptions'!B7</x:f>
        <x:v>0.25</x:v>
      </x:c>
      <x:c r="E2" s="10" t="n">
        <x:v>64</x:v>
      </x:c>
      <x:c r="F2" t="n">
        <x:f>E2*B2*'01 Assumptions'!B5</x:f>
        <x:v>32</x:v>
      </x:c>
      <x:c r="G2" t="n">
        <x:f>E2*D2</x:f>
        <x:v>16</x:v>
      </x:c>
      <x:c r="H2" t="n">
        <x:f>'01 Assumptions'!B2</x:f>
        <x:v>12</x:v>
      </x:c>
      <x:c r="I2" s="8" t="n">
        <x:f>1-_xlfn.BINOM.DIST(H2-1,E2,D2,TRUE)</x:f>
        <x:v>0.906514184</x:v>
      </x:c>
      <x:c r="J2" t="str">
        <x:f>IF('07 Cost Summary'!B9="", "",'07 Cost Summary'!B9/H2)</x:f>
      </x:c>
      <x:c r="K2" t="str">
        <x:v>90% assurance screened n is precomputed; update with Python if assumptions change</x:v>
      </x:c>
    </x:row>
    <x:row r="3">
      <x:c r="A3" t="str">
        <x:v>70% / 70%</x:v>
      </x:c>
      <x:c r="B3" s="8" t="n">
        <x:f>'01 Assumptions'!C3</x:f>
        <x:v>0.7</x:v>
      </x:c>
      <x:c r="C3" s="8" t="n">
        <x:f>'01 Assumptions'!C4</x:f>
        <x:v>0.7</x:v>
      </x:c>
      <x:c r="D3" s="8" t="n">
        <x:f>B3*C3*'01 Assumptions'!C5*'01 Assumptions'!C6*'01 Assumptions'!C7</x:f>
        <x:v>0.48999999999999994</x:v>
      </x:c>
      <x:c r="E3" s="10" t="n">
        <x:v>31</x:v>
      </x:c>
      <x:c r="F3" t="n">
        <x:f>E3*B3*'01 Assumptions'!C5</x:f>
        <x:v>21.7</x:v>
      </x:c>
      <x:c r="G3" t="n">
        <x:f>E3*D3</x:f>
        <x:v>15.189999999999998</x:v>
      </x:c>
      <x:c r="H3" t="n">
        <x:f>'01 Assumptions'!C2</x:f>
        <x:v>12</x:v>
      </x:c>
      <x:c r="I3" s="8" t="n">
        <x:f>1-_xlfn.BINOM.DIST(H3-1,E3,D3,TRUE)</x:f>
        <x:v>0.9081257983</x:v>
      </x:c>
      <x:c r="J3" t="str">
        <x:f>IF('07 Cost Summary'!C9="", "",'07 Cost Summary'!C9/H3)</x:f>
      </x:c>
      <x:c r="K3" t="str">
        <x:v>90% assurance screened n is precomputed; update with Python if assumptions change</x:v>
      </x:c>
    </x:row>
    <x:row r="4">
      <x:c r="A4" t="str">
        <x:v>90% / 90%</x:v>
      </x:c>
      <x:c r="B4" s="8" t="n">
        <x:f>'01 Assumptions'!D3</x:f>
        <x:v>0.9</x:v>
      </x:c>
      <x:c r="C4" s="8" t="n">
        <x:f>'01 Assumptions'!D4</x:f>
        <x:v>0.9</x:v>
      </x:c>
      <x:c r="D4" s="8" t="n">
        <x:f>B4*C4*'01 Assumptions'!D5*'01 Assumptions'!D6*'01 Assumptions'!D7</x:f>
        <x:v>0.81</x:v>
      </x:c>
      <x:c r="E4" s="10" t="n">
        <x:v>17</x:v>
      </x:c>
      <x:c r="F4" t="n">
        <x:f>E4*B4*'01 Assumptions'!D5</x:f>
        <x:v>15.3</x:v>
      </x:c>
      <x:c r="G4" t="n">
        <x:f>E4*D4</x:f>
        <x:v>13.770000000000001</x:v>
      </x:c>
      <x:c r="H4" t="n">
        <x:f>'01 Assumptions'!D2</x:f>
        <x:v>12</x:v>
      </x:c>
      <x:c r="I4" s="8" t="n">
        <x:f>1-_xlfn.BINOM.DIST(H4-1,E4,D4,TRUE)</x:f>
        <x:v>0.9135585072</x:v>
      </x:c>
      <x:c r="J4" t="str">
        <x:f>IF('07 Cost Summary'!D9="", "",'07 Cost Summary'!D9/H4)</x:f>
      </x:c>
      <x:c r="K4" t="str">
        <x:v>90% assurance screened n is precomputed; update with Python if assumptions change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37" hidden="0" customWidth="1"/>
    <x:col min="4" max="4" width="23" hidden="0" customWidth="1"/>
    <x:col min="5" max="5" width="23" hidden="0" customWidth="1"/>
    <x:col min="6" max="6" width="15" hidden="0" customWidth="1"/>
    <x:col min="7" max="7" width="18" hidden="0" customWidth="1"/>
    <x:col min="8" max="8" width="17" hidden="0" customWidth="1"/>
    <x:col min="9" max="9" width="20" hidden="0" customWidth="1"/>
    <x:col min="10" max="10" width="30" hidden="0" customWidth="1"/>
    <x:col min="11" max="11" width="17" hidden="0" customWidth="1"/>
    <x:col min="12" max="12" width="22" hidden="0" customWidth="1"/>
    <x:col min="13" max="13" width="60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0" customHeight="1">
      <x:c r="A1" s="4" t="str">
        <x:v>Process stage</x:v>
      </x:c>
      <x:c r="B1" s="4" t="str">
        <x:v>Category</x:v>
      </x:c>
      <x:c r="C1" s="4" t="str">
        <x:v>Material / reagent / test</x:v>
      </x:c>
      <x:c r="D1" s="4" t="str">
        <x:v>Vendor</x:v>
      </x:c>
      <x:c r="E1" s="4" t="str">
        <x:v>SKU</x:v>
      </x:c>
      <x:c r="F1" s="4" t="str">
        <x:v>Qty / event</x:v>
      </x:c>
      <x:c r="G1" s="4" t="str">
        <x:v>Unit</x:v>
      </x:c>
      <x:c r="H1" s="4" t="str">
        <x:v>Pack size</x:v>
      </x:c>
      <x:c r="I1" s="4" t="str">
        <x:v>Unit price SEK</x:v>
      </x:c>
      <x:c r="J1" s="4" t="str">
        <x:v>Quote URL / evidence</x:v>
      </x:c>
      <x:c r="K1" s="4" t="str">
        <x:v>Quote status</x:v>
      </x:c>
      <x:c r="L1" s="4" t="str">
        <x:v>Driver</x:v>
      </x:c>
      <x:c r="M1" s="4" t="str">
        <x:v>Comment</x:v>
      </x:c>
      <x:c r="N1" s="4" t="str">
        <x:v>50% SEK</x:v>
      </x:c>
      <x:c r="O1" s="4" t="str">
        <x:v>70% SEK</x:v>
      </x:c>
      <x:c r="P1" s="4" t="str">
        <x:v>90% SEK</x:v>
      </x:c>
    </x:row>
    <x:row r="2">
      <x:c r="A2" t="str">
        <x:v>01 Screening</x:v>
      </x:c>
      <x:c r="B2" t="str">
        <x:v>Clinical</x:v>
      </x:c>
      <x:c r="C2" t="str">
        <x:v>Screening / eligibility service</x:v>
      </x:c>
      <x:c r="D2" t="str"/>
      <x:c r="E2" t="str"/>
      <x:c r="F2" s="10" t="n">
        <x:v>1</x:v>
      </x:c>
      <x:c r="G2" t="str">
        <x:v>screened patient</x:v>
      </x:c>
      <x:c r="H2" t="str"/>
      <x:c r="I2" s="14"/>
      <x:c r="J2" t="str"/>
      <x:c r="K2" s="10" t="str">
        <x:v>UNQUOTED</x:v>
      </x:c>
      <x:c r="L2" t="str">
        <x:v>per screened</x:v>
      </x:c>
      <x:c r="M2" t="str">
        <x:v>Exclude donor infection panels from this budget; clinically required separately</x:v>
      </x:c>
      <x:c r="N2" s="16" t="str">
        <x:f>IF(OR(F2="",I2="",K2&lt;&gt;"VERIFIED"),"",F2*I2*('02 Patient Scenarios'!E2))</x:f>
      </x:c>
      <x:c r="O2" s="16" t="str">
        <x:f>IF(OR(F2="",I2="",K2&lt;&gt;"VERIFIED"),"",F2*I2*('02 Patient Scenarios'!E3))</x:f>
      </x:c>
      <x:c r="P2" s="16" t="str">
        <x:f>IF(OR(F2="",I2="",K2&lt;&gt;"VERIFIED"),"",F2*I2*('02 Patient Scenarios'!E4))</x:f>
      </x:c>
    </x:row>
    <x:row r="3">
      <x:c r="A3" t="str">
        <x:v>02 Leukapheresis</x:v>
      </x:c>
      <x:c r="B3" t="str">
        <x:v>Clinical</x:v>
      </x:c>
      <x:c r="C3" t="str">
        <x:v>Leukapheresis procedure</x:v>
      </x:c>
      <x:c r="D3" t="str"/>
      <x:c r="E3" t="str"/>
      <x:c r="F3" s="10" t="n">
        <x:v>1</x:v>
      </x:c>
      <x:c r="G3" t="str">
        <x:v>collection</x:v>
      </x:c>
      <x:c r="H3" t="str"/>
      <x:c r="I3" s="14"/>
      <x:c r="J3" t="str"/>
      <x:c r="K3" s="10" t="str">
        <x:v>UNQUOTED</x:v>
      </x:c>
      <x:c r="L3" t="str">
        <x:v>per collection</x:v>
      </x:c>
      <x:c r="M3" t="str">
        <x:v>Hospital service fee</x:v>
      </x:c>
      <x:c r="N3" s="16" t="str">
        <x:f>IF(OR(F3="",I3="",K3&lt;&gt;"VERIFIED"),"",F3*I3*('02 Patient Scenarios'!F2))</x:f>
      </x:c>
      <x:c r="O3" s="16" t="str">
        <x:f>IF(OR(F3="",I3="",K3&lt;&gt;"VERIFIED"),"",F3*I3*('02 Patient Scenarios'!F3))</x:f>
      </x:c>
      <x:c r="P3" s="16" t="str">
        <x:f>IF(OR(F3="",I3="",K3&lt;&gt;"VERIFIED"),"",F3*I3*('02 Patient Scenarios'!F4))</x:f>
      </x:c>
    </x:row>
    <x:row r="4">
      <x:c r="A4" t="str">
        <x:v>02 Leukapheresis</x:v>
      </x:c>
      <x:c r="B4" t="str">
        <x:v>Material</x:v>
      </x:c>
      <x:c r="C4" t="str">
        <x:v>ACD anticoagulant</x:v>
      </x:c>
      <x:c r="D4" t="str"/>
      <x:c r="E4" t="str"/>
      <x:c r="F4" s="10"/>
      <x:c r="G4" t="str">
        <x:v>bag</x:v>
      </x:c>
      <x:c r="H4" t="str"/>
      <x:c r="I4" s="14"/>
      <x:c r="J4" t="str"/>
      <x:c r="K4" s="10" t="str">
        <x:v>UNQUOTED</x:v>
      </x:c>
      <x:c r="L4" t="str">
        <x:v>per collection</x:v>
      </x:c>
      <x:c r="M4" t="str">
        <x:v>Actual volume per collection TBD</x:v>
      </x:c>
      <x:c r="N4" s="16" t="str">
        <x:f>IF(OR(F4="",I4="",K4&lt;&gt;"VERIFIED"),"",F4*I4*('02 Patient Scenarios'!F2))</x:f>
      </x:c>
      <x:c r="O4" s="16" t="str">
        <x:f>IF(OR(F4="",I4="",K4&lt;&gt;"VERIFIED"),"",F4*I4*('02 Patient Scenarios'!F3))</x:f>
      </x:c>
      <x:c r="P4" s="16" t="str">
        <x:f>IF(OR(F4="",I4="",K4&lt;&gt;"VERIFIED"),"",F4*I4*('02 Patient Scenarios'!F4))</x:f>
      </x:c>
    </x:row>
    <x:row r="5">
      <x:c r="A5" t="str">
        <x:v>02 Leukapheresis</x:v>
      </x:c>
      <x:c r="B5" t="str">
        <x:v>Logistics</x:v>
      </x:c>
      <x:c r="C5" t="str">
        <x:v>Apheresis product transport</x:v>
      </x:c>
      <x:c r="D5" t="str"/>
      <x:c r="E5" t="str"/>
      <x:c r="F5" s="10" t="n">
        <x:v>1</x:v>
      </x:c>
      <x:c r="G5" t="str">
        <x:v>shipment</x:v>
      </x:c>
      <x:c r="H5" t="str"/>
      <x:c r="I5" s="14"/>
      <x:c r="J5" t="str"/>
      <x:c r="K5" s="10" t="str">
        <x:v>UNQUOTED</x:v>
      </x:c>
      <x:c r="L5" t="str">
        <x:v>per collection</x:v>
      </x:c>
      <x:c r="M5" t="str">
        <x:v>Temperature and time constraints TBD</x:v>
      </x:c>
      <x:c r="N5" s="16" t="str">
        <x:f>IF(OR(F5="",I5="",K5&lt;&gt;"VERIFIED"),"",F5*I5*('02 Patient Scenarios'!F2))</x:f>
      </x:c>
      <x:c r="O5" s="16" t="str">
        <x:f>IF(OR(F5="",I5="",K5&lt;&gt;"VERIFIED"),"",F5*I5*('02 Patient Scenarios'!F3))</x:f>
      </x:c>
      <x:c r="P5" s="16" t="str">
        <x:f>IF(OR(F5="",I5="",K5&lt;&gt;"VERIFIED"),"",F5*I5*('02 Patient Scenarios'!F4))</x:f>
      </x:c>
    </x:row>
    <x:row r="6">
      <x:c r="A6" t="str">
        <x:v>03 PBMC Isolation</x:v>
      </x:c>
      <x:c r="B6" t="str">
        <x:v>Equipment service</x:v>
      </x:c>
      <x:c r="C6" t="str">
        <x:v>Sepax C-Pro processing charge</x:v>
      </x:c>
      <x:c r="D6" t="str">
        <x:v>Cytiva</x:v>
      </x:c>
      <x:c r="E6" t="str"/>
      <x:c r="F6" s="10" t="n">
        <x:v>1</x:v>
      </x:c>
      <x:c r="G6" t="str">
        <x:v>run</x:v>
      </x:c>
      <x:c r="H6" t="str"/>
      <x:c r="I6" s="14"/>
      <x:c r="J6" t="str"/>
      <x:c r="K6" s="10" t="str">
        <x:v>UNQUOTED</x:v>
      </x:c>
      <x:c r="L6" t="str">
        <x:v>per collection</x:v>
      </x:c>
      <x:c r="M6" t="str">
        <x:v>Only if not included in facility fee</x:v>
      </x:c>
      <x:c r="N6" s="16" t="str">
        <x:f>IF(OR(F6="",I6="",K6&lt;&gt;"VERIFIED"),"",F6*I6*('02 Patient Scenarios'!F2))</x:f>
      </x:c>
      <x:c r="O6" s="16" t="str">
        <x:f>IF(OR(F6="",I6="",K6&lt;&gt;"VERIFIED"),"",F6*I6*('02 Patient Scenarios'!F3))</x:f>
      </x:c>
      <x:c r="P6" s="16" t="str">
        <x:f>IF(OR(F6="",I6="",K6&lt;&gt;"VERIFIED"),"",F6*I6*('02 Patient Scenarios'!F4))</x:f>
      </x:c>
    </x:row>
    <x:row r="7">
      <x:c r="A7" t="str">
        <x:v>03 PBMC Isolation</x:v>
      </x:c>
      <x:c r="B7" t="str">
        <x:v>Material</x:v>
      </x:c>
      <x:c r="C7" t="str">
        <x:v>Ficoll Premium</x:v>
      </x:c>
      <x:c r="D7" t="str"/>
      <x:c r="E7" t="str"/>
      <x:c r="F7" s="10"/>
      <x:c r="G7" t="str">
        <x:v>bottle</x:v>
      </x:c>
      <x:c r="H7" t="str"/>
      <x:c r="I7" s="14"/>
      <x:c r="J7" t="str"/>
      <x:c r="K7" s="10" t="str">
        <x:v>UNQUOTED</x:v>
      </x:c>
      <x:c r="L7" t="str">
        <x:v>per collection</x:v>
      </x:c>
      <x:c r="M7" t="str">
        <x:v>Confirm GMP grade and exact volume</x:v>
      </x:c>
      <x:c r="N7" s="16" t="str">
        <x:f>IF(OR(F7="",I7="",K7&lt;&gt;"VERIFIED"),"",F7*I7*('02 Patient Scenarios'!F2))</x:f>
      </x:c>
      <x:c r="O7" s="16" t="str">
        <x:f>IF(OR(F7="",I7="",K7&lt;&gt;"VERIFIED"),"",F7*I7*('02 Patient Scenarios'!F3))</x:f>
      </x:c>
      <x:c r="P7" s="16" t="str">
        <x:f>IF(OR(F7="",I7="",K7&lt;&gt;"VERIFIED"),"",F7*I7*('02 Patient Scenarios'!F4))</x:f>
      </x:c>
    </x:row>
    <x:row r="8">
      <x:c r="A8" t="str">
        <x:v>03 PBMC Isolation</x:v>
      </x:c>
      <x:c r="B8" t="str">
        <x:v>Material</x:v>
      </x:c>
      <x:c r="C8" t="str">
        <x:v>0.9% NaCl</x:v>
      </x:c>
      <x:c r="D8" t="str">
        <x:v>B. Braun</x:v>
      </x:c>
      <x:c r="E8" t="str"/>
      <x:c r="F8" s="10" t="n">
        <x:v>1</x:v>
      </x:c>
      <x:c r="G8" t="str">
        <x:v>unit</x:v>
      </x:c>
      <x:c r="H8" t="str"/>
      <x:c r="I8" s="14"/>
      <x:c r="J8" t="str"/>
      <x:c r="K8" s="10" t="str">
        <x:v>UNQUOTED</x:v>
      </x:c>
      <x:c r="L8" t="str">
        <x:v>per collection</x:v>
      </x:c>
      <x:c r="M8" t="str">
        <x:v>Confirm GMP grade and exact volume</x:v>
      </x:c>
      <x:c r="N8" s="16" t="str">
        <x:f>IF(OR(F8="",I8="",K8&lt;&gt;"VERIFIED"),"",F8*I8*('02 Patient Scenarios'!F2))</x:f>
      </x:c>
      <x:c r="O8" s="16" t="str">
        <x:f>IF(OR(F8="",I8="",K8&lt;&gt;"VERIFIED"),"",F8*I8*('02 Patient Scenarios'!F3))</x:f>
      </x:c>
      <x:c r="P8" s="16" t="str">
        <x:f>IF(OR(F8="",I8="",K8&lt;&gt;"VERIFIED"),"",F8*I8*('02 Patient Scenarios'!F4))</x:f>
      </x:c>
    </x:row>
    <x:row r="9">
      <x:c r="A9" t="str">
        <x:v>03 PBMC Isolation</x:v>
      </x:c>
      <x:c r="B9" t="str">
        <x:v>Material</x:v>
      </x:c>
      <x:c r="C9" t="str">
        <x:v>HSA</x:v>
      </x:c>
      <x:c r="D9" t="str">
        <x:v>Takeda Pharma</x:v>
      </x:c>
      <x:c r="E9" t="str"/>
      <x:c r="F9" s="10"/>
      <x:c r="G9" t="str">
        <x:v>vial</x:v>
      </x:c>
      <x:c r="H9" t="str"/>
      <x:c r="I9" s="14"/>
      <x:c r="J9" t="str"/>
      <x:c r="K9" s="10" t="str">
        <x:v>UNQUOTED</x:v>
      </x:c>
      <x:c r="L9" t="str">
        <x:v>per collection</x:v>
      </x:c>
      <x:c r="M9" t="str">
        <x:v>Confirm GMP grade and exact volume</x:v>
      </x:c>
      <x:c r="N9" s="16" t="str">
        <x:f>IF(OR(F9="",I9="",K9&lt;&gt;"VERIFIED"),"",F9*I9*('02 Patient Scenarios'!F2))</x:f>
      </x:c>
      <x:c r="O9" s="16" t="str">
        <x:f>IF(OR(F9="",I9="",K9&lt;&gt;"VERIFIED"),"",F9*I9*('02 Patient Scenarios'!F3))</x:f>
      </x:c>
      <x:c r="P9" s="16" t="str">
        <x:f>IF(OR(F9="",I9="",K9&lt;&gt;"VERIFIED"),"",F9*I9*('02 Patient Scenarios'!F4))</x:f>
      </x:c>
    </x:row>
    <x:row r="10">
      <x:c r="A10" t="str">
        <x:v>03 PBMC Isolation</x:v>
      </x:c>
      <x:c r="B10" t="str">
        <x:v>Material</x:v>
      </x:c>
      <x:c r="C10" t="str">
        <x:v>Pulmozyme</x:v>
      </x:c>
      <x:c r="D10" t="str"/>
      <x:c r="E10" t="str"/>
      <x:c r="F10" s="10"/>
      <x:c r="G10" t="str">
        <x:v>vial</x:v>
      </x:c>
      <x:c r="H10" t="str"/>
      <x:c r="I10" s="14"/>
      <x:c r="J10" t="str"/>
      <x:c r="K10" s="10" t="str">
        <x:v>UNQUOTED</x:v>
      </x:c>
      <x:c r="L10" t="str">
        <x:v>per collection</x:v>
      </x:c>
      <x:c r="M10" t="str">
        <x:v>Confirm GMP grade and exact volume</x:v>
      </x:c>
      <x:c r="N10" s="16" t="str">
        <x:f>IF(OR(F10="",I10="",K10&lt;&gt;"VERIFIED"),"",F10*I10*('02 Patient Scenarios'!F2))</x:f>
      </x:c>
      <x:c r="O10" s="16" t="str">
        <x:f>IF(OR(F10="",I10="",K10&lt;&gt;"VERIFIED"),"",F10*I10*('02 Patient Scenarios'!F3))</x:f>
      </x:c>
      <x:c r="P10" s="16" t="str">
        <x:f>IF(OR(F10="",I10="",K10&lt;&gt;"VERIFIED"),"",F10*I10*('02 Patient Scenarios'!F4))</x:f>
      </x:c>
    </x:row>
    <x:row r="11">
      <x:c r="A11" t="str">
        <x:v>03 PBMC Isolation</x:v>
      </x:c>
      <x:c r="B11" t="str">
        <x:v>Material</x:v>
      </x:c>
      <x:c r="C11" t="str">
        <x:v>Sepax disposable set</x:v>
      </x:c>
      <x:c r="D11" t="str"/>
      <x:c r="E11" t="str"/>
      <x:c r="F11" s="10" t="n">
        <x:v>1</x:v>
      </x:c>
      <x:c r="G11" t="str">
        <x:v>set</x:v>
      </x:c>
      <x:c r="H11" t="str"/>
      <x:c r="I11" s="14"/>
      <x:c r="J11" t="str"/>
      <x:c r="K11" s="10" t="str">
        <x:v>UNQUOTED</x:v>
      </x:c>
      <x:c r="L11" t="str">
        <x:v>per collection</x:v>
      </x:c>
      <x:c r="M11" t="str">
        <x:v>Confirm GMP grade and exact volume</x:v>
      </x:c>
      <x:c r="N11" s="16" t="str">
        <x:f>IF(OR(F11="",I11="",K11&lt;&gt;"VERIFIED"),"",F11*I11*('02 Patient Scenarios'!F2))</x:f>
      </x:c>
      <x:c r="O11" s="16" t="str">
        <x:f>IF(OR(F11="",I11="",K11&lt;&gt;"VERIFIED"),"",F11*I11*('02 Patient Scenarios'!F3))</x:f>
      </x:c>
      <x:c r="P11" s="16" t="str">
        <x:f>IF(OR(F11="",I11="",K11&lt;&gt;"VERIFIED"),"",F11*I11*('02 Patient Scenarios'!F4))</x:f>
      </x:c>
    </x:row>
    <x:row r="12">
      <x:c r="A12" t="str">
        <x:v>03 PBMC Isolation</x:v>
      </x:c>
      <x:c r="B12" t="str">
        <x:v>Material</x:v>
      </x:c>
      <x:c r="C12" t="str">
        <x:v>225 mL centrifuge flask</x:v>
      </x:c>
      <x:c r="D12" t="str">
        <x:v>Falcon</x:v>
      </x:c>
      <x:c r="E12" t="str">
        <x:v>352075</x:v>
      </x:c>
      <x:c r="F12" s="10" t="n">
        <x:v>2</x:v>
      </x:c>
      <x:c r="G12" t="str">
        <x:v>piece</x:v>
      </x:c>
      <x:c r="H12" t="str"/>
      <x:c r="I12" s="14"/>
      <x:c r="J12" t="str"/>
      <x:c r="K12" s="10" t="str">
        <x:v>UNQUOTED</x:v>
      </x:c>
      <x:c r="L12" t="str">
        <x:v>per collection</x:v>
      </x:c>
      <x:c r="M12" t="str">
        <x:v>Confirm GMP grade and exact volume</x:v>
      </x:c>
      <x:c r="N12" s="16" t="str">
        <x:f>IF(OR(F12="",I12="",K12&lt;&gt;"VERIFIED"),"",F12*I12*('02 Patient Scenarios'!F2))</x:f>
      </x:c>
      <x:c r="O12" s="16" t="str">
        <x:f>IF(OR(F12="",I12="",K12&lt;&gt;"VERIFIED"),"",F12*I12*('02 Patient Scenarios'!F3))</x:f>
      </x:c>
      <x:c r="P12" s="16" t="str">
        <x:f>IF(OR(F12="",I12="",K12&lt;&gt;"VERIFIED"),"",F12*I12*('02 Patient Scenarios'!F4))</x:f>
      </x:c>
    </x:row>
    <x:row r="13">
      <x:c r="A13" t="str">
        <x:v>04 Incoming QC</x:v>
      </x:c>
      <x:c r="B13" t="str">
        <x:v>QC</x:v>
      </x:c>
      <x:c r="C13" t="str">
        <x:v>BD Multitest 6-color TBNK</x:v>
      </x:c>
      <x:c r="D13" t="str">
        <x:v>BD</x:v>
      </x:c>
      <x:c r="E13" t="str"/>
      <x:c r="F13" s="10" t="n">
        <x:v>1</x:v>
      </x:c>
      <x:c r="G13" t="str">
        <x:v>test</x:v>
      </x:c>
      <x:c r="H13" t="str"/>
      <x:c r="I13" s="14"/>
      <x:c r="J13" t="str"/>
      <x:c r="K13" s="10" t="str">
        <x:v>UNQUOTED</x:v>
      </x:c>
      <x:c r="L13" t="str">
        <x:v>per collection</x:v>
      </x:c>
      <x:c r="M13" t="str">
        <x:v>Incoming PBMC composition</x:v>
      </x:c>
      <x:c r="N13" s="16" t="str">
        <x:f>IF(OR(F13="",I13="",K13&lt;&gt;"VERIFIED"),"",F13*I13*('02 Patient Scenarios'!F2))</x:f>
      </x:c>
      <x:c r="O13" s="16" t="str">
        <x:f>IF(OR(F13="",I13="",K13&lt;&gt;"VERIFIED"),"",F13*I13*('02 Patient Scenarios'!F3))</x:f>
      </x:c>
      <x:c r="P13" s="16" t="str">
        <x:f>IF(OR(F13="",I13="",K13&lt;&gt;"VERIFIED"),"",F13*I13*('02 Patient Scenarios'!F4))</x:f>
      </x:c>
    </x:row>
    <x:row r="14">
      <x:c r="A14" t="str">
        <x:v>04 Incoming QC</x:v>
      </x:c>
      <x:c r="B14" t="str">
        <x:v>QC</x:v>
      </x:c>
      <x:c r="C14" t="str">
        <x:v>BD Trucount beads</x:v>
      </x:c>
      <x:c r="D14" t="str">
        <x:v>BD</x:v>
      </x:c>
      <x:c r="E14" t="str"/>
      <x:c r="F14" s="10" t="n">
        <x:v>1</x:v>
      </x:c>
      <x:c r="G14" t="str">
        <x:v>test</x:v>
      </x:c>
      <x:c r="H14" t="str"/>
      <x:c r="I14" s="14"/>
      <x:c r="J14" t="str"/>
      <x:c r="K14" s="10" t="str">
        <x:v>UNQUOTED</x:v>
      </x:c>
      <x:c r="L14" t="str">
        <x:v>per collection</x:v>
      </x:c>
      <x:c r="M14" t="str">
        <x:v>Incoming PBMC composition</x:v>
      </x:c>
      <x:c r="N14" s="16" t="str">
        <x:f>IF(OR(F14="",I14="",K14&lt;&gt;"VERIFIED"),"",F14*I14*('02 Patient Scenarios'!F2))</x:f>
      </x:c>
      <x:c r="O14" s="16" t="str">
        <x:f>IF(OR(F14="",I14="",K14&lt;&gt;"VERIFIED"),"",F14*I14*('02 Patient Scenarios'!F3))</x:f>
      </x:c>
      <x:c r="P14" s="16" t="str">
        <x:f>IF(OR(F14="",I14="",K14&lt;&gt;"VERIFIED"),"",F14*I14*('02 Patient Scenarios'!F4))</x:f>
      </x:c>
    </x:row>
    <x:row r="15">
      <x:c r="A15" t="str">
        <x:v>04 Incoming QC</x:v>
      </x:c>
      <x:c r="B15" t="str">
        <x:v>QC</x:v>
      </x:c>
      <x:c r="C15" t="str">
        <x:v>Flow cytometry acquisition</x:v>
      </x:c>
      <x:c r="D15" t="str"/>
      <x:c r="E15" t="str"/>
      <x:c r="F15" s="10" t="n">
        <x:v>1</x:v>
      </x:c>
      <x:c r="G15" t="str">
        <x:v>test</x:v>
      </x:c>
      <x:c r="H15" t="str"/>
      <x:c r="I15" s="14"/>
      <x:c r="J15" t="str"/>
      <x:c r="K15" s="10" t="str">
        <x:v>UNQUOTED</x:v>
      </x:c>
      <x:c r="L15" t="str">
        <x:v>per collection</x:v>
      </x:c>
      <x:c r="M15" t="str">
        <x:v>Incoming PBMC composition</x:v>
      </x:c>
      <x:c r="N15" s="16" t="str">
        <x:f>IF(OR(F15="",I15="",K15&lt;&gt;"VERIFIED"),"",F15*I15*('02 Patient Scenarios'!F2))</x:f>
      </x:c>
      <x:c r="O15" s="16" t="str">
        <x:f>IF(OR(F15="",I15="",K15&lt;&gt;"VERIFIED"),"",F15*I15*('02 Patient Scenarios'!F3))</x:f>
      </x:c>
      <x:c r="P15" s="16" t="str">
        <x:f>IF(OR(F15="",I15="",K15&lt;&gt;"VERIFIED"),"",F15*I15*('02 Patient Scenarios'!F4))</x:f>
      </x:c>
    </x:row>
    <x:row r="16">
      <x:c r="A16" t="str">
        <x:v>05 CAR-T Manufacturing</x:v>
      </x:c>
      <x:c r="B16" t="str">
        <x:v>Material</x:v>
      </x:c>
      <x:c r="C16" t="str">
        <x:v>CliniMACS Prodigy TS 520</x:v>
      </x:c>
      <x:c r="D16" t="str">
        <x:v>Miltenyi</x:v>
      </x:c>
      <x:c r="E16" t="str">
        <x:v>200-073-613</x:v>
      </x:c>
      <x:c r="F16" s="10" t="n">
        <x:v>1</x:v>
      </x:c>
      <x:c r="G16" t="str">
        <x:v>set</x:v>
      </x:c>
      <x:c r="H16" t="str"/>
      <x:c r="I16" s="14"/>
      <x:c r="J16" t="str"/>
      <x:c r="K16" s="10" t="str">
        <x:v>UNQUOTED</x:v>
      </x:c>
      <x:c r="L16" t="str">
        <x:v>per start</x:v>
      </x:c>
      <x:c r="M16" t="str">
        <x:v>5-7 days typical; extended 8-13 days; confirm lot, quantity and vendor quote</x:v>
      </x:c>
      <x:c r="N16" s="16" t="str">
        <x:f>IF(OR(F16="",I16="",K16&lt;&gt;"VERIFIED"),"",F16*I16*('02 Patient Scenarios'!F2))</x:f>
      </x:c>
      <x:c r="O16" s="16" t="str">
        <x:f>IF(OR(F16="",I16="",K16&lt;&gt;"VERIFIED"),"",F16*I16*('02 Patient Scenarios'!F3))</x:f>
      </x:c>
      <x:c r="P16" s="16" t="str">
        <x:f>IF(OR(F16="",I16="",K16&lt;&gt;"VERIFIED"),"",F16*I16*('02 Patient Scenarios'!F4))</x:f>
      </x:c>
    </x:row>
    <x:row r="17">
      <x:c r="A17" t="str">
        <x:v>05 CAR-T Manufacturing</x:v>
      </x:c>
      <x:c r="B17" t="str">
        <x:v>Material</x:v>
      </x:c>
      <x:c r="C17" t="str">
        <x:v>TexMACS GMP medium</x:v>
      </x:c>
      <x:c r="D17" t="str">
        <x:v>Miltenyi</x:v>
      </x:c>
      <x:c r="E17" t="str">
        <x:v>170-076-306</x:v>
      </x:c>
      <x:c r="F17" s="10"/>
      <x:c r="G17" t="str">
        <x:v>pack</x:v>
      </x:c>
      <x:c r="H17" t="str"/>
      <x:c r="I17" s="14"/>
      <x:c r="J17" t="str"/>
      <x:c r="K17" s="10" t="str">
        <x:v>UNQUOTED</x:v>
      </x:c>
      <x:c r="L17" t="str">
        <x:v>per start</x:v>
      </x:c>
      <x:c r="M17" t="str">
        <x:v>5-7 days typical; extended 8-13 days; confirm lot, quantity and vendor quote</x:v>
      </x:c>
      <x:c r="N17" s="16" t="str">
        <x:f>IF(OR(F17="",I17="",K17&lt;&gt;"VERIFIED"),"",F17*I17*('02 Patient Scenarios'!F2))</x:f>
      </x:c>
      <x:c r="O17" s="16" t="str">
        <x:f>IF(OR(F17="",I17="",K17&lt;&gt;"VERIFIED"),"",F17*I17*('02 Patient Scenarios'!F3))</x:f>
      </x:c>
      <x:c r="P17" s="16" t="str">
        <x:f>IF(OR(F17="",I17="",K17&lt;&gt;"VERIFIED"),"",F17*I17*('02 Patient Scenarios'!F4))</x:f>
      </x:c>
    </x:row>
    <x:row r="18">
      <x:c r="A18" t="str">
        <x:v>05 CAR-T Manufacturing</x:v>
      </x:c>
      <x:c r="B18" t="str">
        <x:v>Material</x:v>
      </x:c>
      <x:c r="C18" t="str">
        <x:v>MACS GMP IL-7</x:v>
      </x:c>
      <x:c r="D18" t="str">
        <x:v>Miltenyi</x:v>
      </x:c>
      <x:c r="E18" t="str">
        <x:v>170-076-111</x:v>
      </x:c>
      <x:c r="F18" s="10"/>
      <x:c r="G18" t="str">
        <x:v>vial</x:v>
      </x:c>
      <x:c r="H18" t="str"/>
      <x:c r="I18" s="14"/>
      <x:c r="J18" t="str"/>
      <x:c r="K18" s="10" t="str">
        <x:v>UNQUOTED</x:v>
      </x:c>
      <x:c r="L18" t="str">
        <x:v>per start</x:v>
      </x:c>
      <x:c r="M18" t="str">
        <x:v>5-7 days typical; extended 8-13 days; confirm lot, quantity and vendor quote</x:v>
      </x:c>
      <x:c r="N18" s="16" t="str">
        <x:f>IF(OR(F18="",I18="",K18&lt;&gt;"VERIFIED"),"",F18*I18*('02 Patient Scenarios'!F2))</x:f>
      </x:c>
      <x:c r="O18" s="16" t="str">
        <x:f>IF(OR(F18="",I18="",K18&lt;&gt;"VERIFIED"),"",F18*I18*('02 Patient Scenarios'!F3))</x:f>
      </x:c>
      <x:c r="P18" s="16" t="str">
        <x:f>IF(OR(F18="",I18="",K18&lt;&gt;"VERIFIED"),"",F18*I18*('02 Patient Scenarios'!F4))</x:f>
      </x:c>
    </x:row>
    <x:row r="19">
      <x:c r="A19" t="str">
        <x:v>05 CAR-T Manufacturing</x:v>
      </x:c>
      <x:c r="B19" t="str">
        <x:v>Material</x:v>
      </x:c>
      <x:c r="C19" t="str">
        <x:v>MACS GMP IL-15</x:v>
      </x:c>
      <x:c r="D19" t="str">
        <x:v>Miltenyi</x:v>
      </x:c>
      <x:c r="E19" t="str">
        <x:v>170-076-114</x:v>
      </x:c>
      <x:c r="F19" s="10"/>
      <x:c r="G19" t="str">
        <x:v>vial</x:v>
      </x:c>
      <x:c r="H19" t="str"/>
      <x:c r="I19" s="14"/>
      <x:c r="J19" t="str"/>
      <x:c r="K19" s="10" t="str">
        <x:v>UNQUOTED</x:v>
      </x:c>
      <x:c r="L19" t="str">
        <x:v>per start</x:v>
      </x:c>
      <x:c r="M19" t="str">
        <x:v>5-7 days typical; extended 8-13 days; confirm lot, quantity and vendor quote</x:v>
      </x:c>
      <x:c r="N19" s="16" t="str">
        <x:f>IF(OR(F19="",I19="",K19&lt;&gt;"VERIFIED"),"",F19*I19*('02 Patient Scenarios'!F2))</x:f>
      </x:c>
      <x:c r="O19" s="16" t="str">
        <x:f>IF(OR(F19="",I19="",K19&lt;&gt;"VERIFIED"),"",F19*I19*('02 Patient Scenarios'!F3))</x:f>
      </x:c>
      <x:c r="P19" s="16" t="str">
        <x:f>IF(OR(F19="",I19="",K19&lt;&gt;"VERIFIED"),"",F19*I19*('02 Patient Scenarios'!F4))</x:f>
      </x:c>
    </x:row>
    <x:row r="20">
      <x:c r="A20" t="str">
        <x:v>05 CAR-T Manufacturing</x:v>
      </x:c>
      <x:c r="B20" t="str">
        <x:v>Material</x:v>
      </x:c>
      <x:c r="C20" t="str">
        <x:v>MACS GMP T cell TransAct</x:v>
      </x:c>
      <x:c r="D20" t="str">
        <x:v>Miltenyi</x:v>
      </x:c>
      <x:c r="E20" t="str">
        <x:v>200-076-202</x:v>
      </x:c>
      <x:c r="F20" s="10" t="n">
        <x:v>1</x:v>
      </x:c>
      <x:c r="G20" t="str">
        <x:v>pack</x:v>
      </x:c>
      <x:c r="H20" t="str"/>
      <x:c r="I20" s="14"/>
      <x:c r="J20" t="str"/>
      <x:c r="K20" s="10" t="str">
        <x:v>UNQUOTED</x:v>
      </x:c>
      <x:c r="L20" t="str">
        <x:v>per start</x:v>
      </x:c>
      <x:c r="M20" t="str">
        <x:v>5-7 days typical; extended 8-13 days; confirm lot, quantity and vendor quote</x:v>
      </x:c>
      <x:c r="N20" s="16" t="str">
        <x:f>IF(OR(F20="",I20="",K20&lt;&gt;"VERIFIED"),"",F20*I20*('02 Patient Scenarios'!F2))</x:f>
      </x:c>
      <x:c r="O20" s="16" t="str">
        <x:f>IF(OR(F20="",I20="",K20&lt;&gt;"VERIFIED"),"",F20*I20*('02 Patient Scenarios'!F3))</x:f>
      </x:c>
      <x:c r="P20" s="16" t="str">
        <x:f>IF(OR(F20="",I20="",K20&lt;&gt;"VERIFIED"),"",F20*I20*('02 Patient Scenarios'!F4))</x:f>
      </x:c>
    </x:row>
    <x:row r="21">
      <x:c r="A21" t="str">
        <x:v>05 CAR-T Manufacturing</x:v>
      </x:c>
      <x:c r="B21" t="str">
        <x:v>Material</x:v>
      </x:c>
      <x:c r="C21" t="str">
        <x:v>MACS GMP Vectofusin-1</x:v>
      </x:c>
      <x:c r="D21" t="str">
        <x:v>Miltenyi</x:v>
      </x:c>
      <x:c r="E21" t="str">
        <x:v>170-076-165</x:v>
      </x:c>
      <x:c r="F21" s="10" t="n">
        <x:v>1</x:v>
      </x:c>
      <x:c r="G21" t="str">
        <x:v>pack</x:v>
      </x:c>
      <x:c r="H21" t="str"/>
      <x:c r="I21" s="14"/>
      <x:c r="J21" t="str"/>
      <x:c r="K21" s="10" t="str">
        <x:v>UNQUOTED</x:v>
      </x:c>
      <x:c r="L21" t="str">
        <x:v>per start</x:v>
      </x:c>
      <x:c r="M21" t="str">
        <x:v>5-7 days typical; extended 8-13 days; confirm lot, quantity and vendor quote</x:v>
      </x:c>
      <x:c r="N21" s="16" t="str">
        <x:f>IF(OR(F21="",I21="",K21&lt;&gt;"VERIFIED"),"",F21*I21*('02 Patient Scenarios'!F2))</x:f>
      </x:c>
      <x:c r="O21" s="16" t="str">
        <x:f>IF(OR(F21="",I21="",K21&lt;&gt;"VERIFIED"),"",F21*I21*('02 Patient Scenarios'!F3))</x:f>
      </x:c>
      <x:c r="P21" s="16" t="str">
        <x:f>IF(OR(F21="",I21="",K21&lt;&gt;"VERIFIED"),"",F21*I21*('02 Patient Scenarios'!F4))</x:f>
      </x:c>
    </x:row>
    <x:row r="22">
      <x:c r="A22" t="str">
        <x:v>05 CAR-T Manufacturing</x:v>
      </x:c>
      <x:c r="B22" t="str">
        <x:v>Material</x:v>
      </x:c>
      <x:c r="C22" t="str">
        <x:v>Retroviral vector supernatant RV(CAR20NAP)</x:v>
      </x:c>
      <x:c r="D22" t="str">
        <x:v>BioNTech</x:v>
      </x:c>
      <x:c r="E22" t="str">
        <x:v>HE-AM083</x:v>
      </x:c>
      <x:c r="F22" s="10"/>
      <x:c r="G22" t="str">
        <x:v>mL</x:v>
      </x:c>
      <x:c r="H22" t="str"/>
      <x:c r="I22" s="14"/>
      <x:c r="J22" t="str"/>
      <x:c r="K22" s="10" t="str">
        <x:v>UNQUOTED</x:v>
      </x:c>
      <x:c r="L22" t="str">
        <x:v>per start</x:v>
      </x:c>
      <x:c r="M22" t="str">
        <x:v>5-7 days typical; extended 8-13 days; confirm lot, quantity and vendor quote</x:v>
      </x:c>
      <x:c r="N22" s="16" t="str">
        <x:f>IF(OR(F22="",I22="",K22&lt;&gt;"VERIFIED"),"",F22*I22*('02 Patient Scenarios'!F2))</x:f>
      </x:c>
      <x:c r="O22" s="16" t="str">
        <x:f>IF(OR(F22="",I22="",K22&lt;&gt;"VERIFIED"),"",F22*I22*('02 Patient Scenarios'!F3))</x:f>
      </x:c>
      <x:c r="P22" s="16" t="str">
        <x:f>IF(OR(F22="",I22="",K22&lt;&gt;"VERIFIED"),"",F22*I22*('02 Patient Scenarios'!F4))</x:f>
      </x:c>
    </x:row>
    <x:row r="23">
      <x:c r="A23" t="str">
        <x:v>05 CAR-T Manufacturing</x:v>
      </x:c>
      <x:c r="B23" t="str">
        <x:v>Material</x:v>
      </x:c>
      <x:c r="C23" t="str">
        <x:v>WFI</x:v>
      </x:c>
      <x:c r="D23" t="str">
        <x:v>B. Braun</x:v>
      </x:c>
      <x:c r="E23" t="str"/>
      <x:c r="F23" s="10" t="n">
        <x:v>1</x:v>
      </x:c>
      <x:c r="G23" t="str">
        <x:v>unit</x:v>
      </x:c>
      <x:c r="H23" t="str"/>
      <x:c r="I23" s="14"/>
      <x:c r="J23" t="str"/>
      <x:c r="K23" s="10" t="str">
        <x:v>UNQUOTED</x:v>
      </x:c>
      <x:c r="L23" t="str">
        <x:v>per start</x:v>
      </x:c>
      <x:c r="M23" t="str">
        <x:v>5-7 days typical; extended 8-13 days; confirm lot, quantity and vendor quote</x:v>
      </x:c>
      <x:c r="N23" s="16" t="str">
        <x:f>IF(OR(F23="",I23="",K23&lt;&gt;"VERIFIED"),"",F23*I23*('02 Patient Scenarios'!F2))</x:f>
      </x:c>
      <x:c r="O23" s="16" t="str">
        <x:f>IF(OR(F23="",I23="",K23&lt;&gt;"VERIFIED"),"",F23*I23*('02 Patient Scenarios'!F3))</x:f>
      </x:c>
      <x:c r="P23" s="16" t="str">
        <x:f>IF(OR(F23="",I23="",K23&lt;&gt;"VERIFIED"),"",F23*I23*('02 Patient Scenarios'!F4))</x:f>
      </x:c>
    </x:row>
    <x:row r="24">
      <x:c r="A24" t="str">
        <x:v>05 CAR-T Manufacturing</x:v>
      </x:c>
      <x:c r="B24" t="str">
        <x:v>Material</x:v>
      </x:c>
      <x:c r="C24" t="str">
        <x:v>0.9% NaCl for injection</x:v>
      </x:c>
      <x:c r="D24" t="str">
        <x:v>B. Braun</x:v>
      </x:c>
      <x:c r="E24" t="str"/>
      <x:c r="F24" s="10" t="n">
        <x:v>1</x:v>
      </x:c>
      <x:c r="G24" t="str">
        <x:v>unit</x:v>
      </x:c>
      <x:c r="H24" t="str"/>
      <x:c r="I24" s="14"/>
      <x:c r="J24" t="str"/>
      <x:c r="K24" s="10" t="str">
        <x:v>UNQUOTED</x:v>
      </x:c>
      <x:c r="L24" t="str">
        <x:v>per start</x:v>
      </x:c>
      <x:c r="M24" t="str">
        <x:v>5-7 days typical; extended 8-13 days; confirm lot, quantity and vendor quote</x:v>
      </x:c>
      <x:c r="N24" s="16" t="str">
        <x:f>IF(OR(F24="",I24="",K24&lt;&gt;"VERIFIED"),"",F24*I24*('02 Patient Scenarios'!F2))</x:f>
      </x:c>
      <x:c r="O24" s="16" t="str">
        <x:f>IF(OR(F24="",I24="",K24&lt;&gt;"VERIFIED"),"",F24*I24*('02 Patient Scenarios'!F3))</x:f>
      </x:c>
      <x:c r="P24" s="16" t="str">
        <x:f>IF(OR(F24="",I24="",K24&lt;&gt;"VERIFIED"),"",F24*I24*('02 Patient Scenarios'!F4))</x:f>
      </x:c>
    </x:row>
    <x:row r="25">
      <x:c r="A25" t="str">
        <x:v>05 CAR-T Manufacturing</x:v>
      </x:c>
      <x:c r="B25" t="str">
        <x:v>Material</x:v>
      </x:c>
      <x:c r="C25" t="str">
        <x:v>Human serum albumin</x:v>
      </x:c>
      <x:c r="D25" t="str">
        <x:v>Takeda Pharma</x:v>
      </x:c>
      <x:c r="E25" t="str"/>
      <x:c r="F25" s="10" t="n">
        <x:v>5</x:v>
      </x:c>
      <x:c r="G25" t="str">
        <x:v>unit</x:v>
      </x:c>
      <x:c r="H25" t="str"/>
      <x:c r="I25" s="14"/>
      <x:c r="J25" t="str"/>
      <x:c r="K25" s="10" t="str">
        <x:v>UNQUOTED</x:v>
      </x:c>
      <x:c r="L25" t="str">
        <x:v>per start</x:v>
      </x:c>
      <x:c r="M25" t="str">
        <x:v>5-7 days typical; extended 8-13 days; confirm lot, quantity and vendor quote</x:v>
      </x:c>
      <x:c r="N25" s="16" t="str">
        <x:f>IF(OR(F25="",I25="",K25&lt;&gt;"VERIFIED"),"",F25*I25*('02 Patient Scenarios'!F2))</x:f>
      </x:c>
      <x:c r="O25" s="16" t="str">
        <x:f>IF(OR(F25="",I25="",K25&lt;&gt;"VERIFIED"),"",F25*I25*('02 Patient Scenarios'!F3))</x:f>
      </x:c>
      <x:c r="P25" s="16" t="str">
        <x:f>IF(OR(F25="",I25="",K25&lt;&gt;"VERIFIED"),"",F25*I25*('02 Patient Scenarios'!F4))</x:f>
      </x:c>
    </x:row>
    <x:row r="26">
      <x:c r="A26" t="str">
        <x:v>05 CAR-T Manufacturing</x:v>
      </x:c>
      <x:c r="B26" t="str">
        <x:v>Material</x:v>
      </x:c>
      <x:c r="C26" t="str">
        <x:v>Luer/spike interconnector</x:v>
      </x:c>
      <x:c r="D26" t="str">
        <x:v>Miltenyi</x:v>
      </x:c>
      <x:c r="E26" t="str">
        <x:v>130-018-701</x:v>
      </x:c>
      <x:c r="F26" s="10" t="n">
        <x:v>7</x:v>
      </x:c>
      <x:c r="G26" t="str">
        <x:v>piece</x:v>
      </x:c>
      <x:c r="H26" t="str"/>
      <x:c r="I26" s="14"/>
      <x:c r="J26" t="str"/>
      <x:c r="K26" s="10" t="str">
        <x:v>UNQUOTED</x:v>
      </x:c>
      <x:c r="L26" t="str">
        <x:v>per start</x:v>
      </x:c>
      <x:c r="M26" t="str">
        <x:v>5-7 days typical; extended 8-13 days; confirm lot, quantity and vendor quote</x:v>
      </x:c>
      <x:c r="N26" s="16" t="str">
        <x:f>IF(OR(F26="",I26="",K26&lt;&gt;"VERIFIED"),"",F26*I26*('02 Patient Scenarios'!F2))</x:f>
      </x:c>
      <x:c r="O26" s="16" t="str">
        <x:f>IF(OR(F26="",I26="",K26&lt;&gt;"VERIFIED"),"",F26*I26*('02 Patient Scenarios'!F3))</x:f>
      </x:c>
      <x:c r="P26" s="16" t="str">
        <x:f>IF(OR(F26="",I26="",K26&lt;&gt;"VERIFIED"),"",F26*I26*('02 Patient Scenarios'!F4))</x:f>
      </x:c>
    </x:row>
    <x:row r="27">
      <x:c r="A27" t="str">
        <x:v>05 CAR-T Manufacturing</x:v>
      </x:c>
      <x:c r="B27" t="str">
        <x:v>Material</x:v>
      </x:c>
      <x:c r="C27" t="str">
        <x:v>Luer/MPC adapter</x:v>
      </x:c>
      <x:c r="D27" t="str">
        <x:v>Aseptic Group</x:v>
      </x:c>
      <x:c r="E27" t="str">
        <x:v>VECU-291124-01_S</x:v>
      </x:c>
      <x:c r="F27" s="10" t="n">
        <x:v>1</x:v>
      </x:c>
      <x:c r="G27" t="str">
        <x:v>piece</x:v>
      </x:c>
      <x:c r="H27" t="str"/>
      <x:c r="I27" s="14"/>
      <x:c r="J27" t="str"/>
      <x:c r="K27" s="10" t="str">
        <x:v>UNQUOTED</x:v>
      </x:c>
      <x:c r="L27" t="str">
        <x:v>per start</x:v>
      </x:c>
      <x:c r="M27" t="str">
        <x:v>5-7 days typical; extended 8-13 days; confirm lot, quantity and vendor quote</x:v>
      </x:c>
      <x:c r="N27" s="16" t="str">
        <x:f>IF(OR(F27="",I27="",K27&lt;&gt;"VERIFIED"),"",F27*I27*('02 Patient Scenarios'!F2))</x:f>
      </x:c>
      <x:c r="O27" s="16" t="str">
        <x:f>IF(OR(F27="",I27="",K27&lt;&gt;"VERIFIED"),"",F27*I27*('02 Patient Scenarios'!F3))</x:f>
      </x:c>
      <x:c r="P27" s="16" t="str">
        <x:f>IF(OR(F27="",I27="",K27&lt;&gt;"VERIFIED"),"",F27*I27*('02 Patient Scenarios'!F4))</x:f>
      </x:c>
    </x:row>
    <x:row r="28">
      <x:c r="A28" t="str">
        <x:v>05 CAR-T Manufacturing</x:v>
      </x:c>
      <x:c r="B28" t="str">
        <x:v>Material</x:v>
      </x:c>
      <x:c r="C28" t="str">
        <x:v>Triple sampling adapter</x:v>
      </x:c>
      <x:c r="D28" t="str">
        <x:v>Miltenyi</x:v>
      </x:c>
      <x:c r="E28" t="str">
        <x:v>170-076-609</x:v>
      </x:c>
      <x:c r="F28" s="10" t="n">
        <x:v>1</x:v>
      </x:c>
      <x:c r="G28" t="str">
        <x:v>piece</x:v>
      </x:c>
      <x:c r="H28" t="str"/>
      <x:c r="I28" s="14"/>
      <x:c r="J28" t="str"/>
      <x:c r="K28" s="10" t="str">
        <x:v>UNQUOTED</x:v>
      </x:c>
      <x:c r="L28" t="str">
        <x:v>per start</x:v>
      </x:c>
      <x:c r="M28" t="str">
        <x:v>5-7 days typical; extended 8-13 days; confirm lot, quantity and vendor quote</x:v>
      </x:c>
      <x:c r="N28" s="16" t="str">
        <x:f>IF(OR(F28="",I28="",K28&lt;&gt;"VERIFIED"),"",F28*I28*('02 Patient Scenarios'!F2))</x:f>
      </x:c>
      <x:c r="O28" s="16" t="str">
        <x:f>IF(OR(F28="",I28="",K28&lt;&gt;"VERIFIED"),"",F28*I28*('02 Patient Scenarios'!F3))</x:f>
      </x:c>
      <x:c r="P28" s="16" t="str">
        <x:f>IF(OR(F28="",I28="",K28&lt;&gt;"VERIFIED"),"",F28*I28*('02 Patient Scenarios'!F4))</x:f>
      </x:c>
    </x:row>
    <x:row r="29">
      <x:c r="A29" t="str">
        <x:v>05 CAR-T Manufacturing</x:v>
      </x:c>
      <x:c r="B29" t="str">
        <x:v>Material</x:v>
      </x:c>
      <x:c r="C29" t="str">
        <x:v>Transfer bag 150 mL</x:v>
      </x:c>
      <x:c r="D29" t="str">
        <x:v>Terumo</x:v>
      </x:c>
      <x:c r="E29" t="str">
        <x:v>BB*T015CM</x:v>
      </x:c>
      <x:c r="F29" s="10" t="n">
        <x:v>1</x:v>
      </x:c>
      <x:c r="G29" t="str">
        <x:v>bag</x:v>
      </x:c>
      <x:c r="H29" t="str"/>
      <x:c r="I29" s="14"/>
      <x:c r="J29" t="str"/>
      <x:c r="K29" s="10" t="str">
        <x:v>UNQUOTED</x:v>
      </x:c>
      <x:c r="L29" t="str">
        <x:v>per start</x:v>
      </x:c>
      <x:c r="M29" t="str">
        <x:v>5-7 days typical; extended 8-13 days; confirm lot, quantity and vendor quote</x:v>
      </x:c>
      <x:c r="N29" s="16" t="str">
        <x:f>IF(OR(F29="",I29="",K29&lt;&gt;"VERIFIED"),"",F29*I29*('02 Patient Scenarios'!F2))</x:f>
      </x:c>
      <x:c r="O29" s="16" t="str">
        <x:f>IF(OR(F29="",I29="",K29&lt;&gt;"VERIFIED"),"",F29*I29*('02 Patient Scenarios'!F3))</x:f>
      </x:c>
      <x:c r="P29" s="16" t="str">
        <x:f>IF(OR(F29="",I29="",K29&lt;&gt;"VERIFIED"),"",F29*I29*('02 Patient Scenarios'!F4))</x:f>
      </x:c>
    </x:row>
    <x:row r="30">
      <x:c r="A30" t="str">
        <x:v>05 CAR-T Manufacturing</x:v>
      </x:c>
      <x:c r="B30" t="str">
        <x:v>Material</x:v>
      </x:c>
      <x:c r="C30" t="str">
        <x:v>Sterile flask 125 mL</x:v>
      </x:c>
      <x:c r="D30" t="str">
        <x:v>Corning</x:v>
      </x:c>
      <x:c r="E30" t="str">
        <x:v>8388</x:v>
      </x:c>
      <x:c r="F30" s="10" t="n">
        <x:v>1</x:v>
      </x:c>
      <x:c r="G30" t="str">
        <x:v>piece</x:v>
      </x:c>
      <x:c r="H30" t="str"/>
      <x:c r="I30" s="14"/>
      <x:c r="J30" t="str"/>
      <x:c r="K30" s="10" t="str">
        <x:v>UNQUOTED</x:v>
      </x:c>
      <x:c r="L30" t="str">
        <x:v>per start</x:v>
      </x:c>
      <x:c r="M30" t="str">
        <x:v>5-7 days typical; extended 8-13 days; confirm lot, quantity and vendor quote</x:v>
      </x:c>
      <x:c r="N30" s="16" t="str">
        <x:f>IF(OR(F30="",I30="",K30&lt;&gt;"VERIFIED"),"",F30*I30*('02 Patient Scenarios'!F2))</x:f>
      </x:c>
      <x:c r="O30" s="16" t="str">
        <x:f>IF(OR(F30="",I30="",K30&lt;&gt;"VERIFIED"),"",F30*I30*('02 Patient Scenarios'!F3))</x:f>
      </x:c>
      <x:c r="P30" s="16" t="str">
        <x:f>IF(OR(F30="",I30="",K30&lt;&gt;"VERIFIED"),"",F30*I30*('02 Patient Scenarios'!F4))</x:f>
      </x:c>
    </x:row>
    <x:row r="31">
      <x:c r="A31" t="str">
        <x:v>05 CAR-T Manufacturing</x:v>
      </x:c>
      <x:c r="B31" t="str">
        <x:v>Material</x:v>
      </x:c>
      <x:c r="C31" t="str">
        <x:v>Syringe 2.5 mL</x:v>
      </x:c>
      <x:c r="D31" t="str">
        <x:v>Terumo</x:v>
      </x:c>
      <x:c r="E31" t="str"/>
      <x:c r="F31" s="10" t="n">
        <x:v>7</x:v>
      </x:c>
      <x:c r="G31" t="str">
        <x:v>piece</x:v>
      </x:c>
      <x:c r="H31" t="str"/>
      <x:c r="I31" s="14"/>
      <x:c r="J31" t="str"/>
      <x:c r="K31" s="10" t="str">
        <x:v>UNQUOTED</x:v>
      </x:c>
      <x:c r="L31" t="str">
        <x:v>per start</x:v>
      </x:c>
      <x:c r="M31" t="str">
        <x:v>5-7 days typical; extended 8-13 days; confirm lot, quantity and vendor quote</x:v>
      </x:c>
      <x:c r="N31" s="16" t="str">
        <x:f>IF(OR(F31="",I31="",K31&lt;&gt;"VERIFIED"),"",F31*I31*('02 Patient Scenarios'!F2))</x:f>
      </x:c>
      <x:c r="O31" s="16" t="str">
        <x:f>IF(OR(F31="",I31="",K31&lt;&gt;"VERIFIED"),"",F31*I31*('02 Patient Scenarios'!F3))</x:f>
      </x:c>
      <x:c r="P31" s="16" t="str">
        <x:f>IF(OR(F31="",I31="",K31&lt;&gt;"VERIFIED"),"",F31*I31*('02 Patient Scenarios'!F4))</x:f>
      </x:c>
    </x:row>
    <x:row r="32">
      <x:c r="A32" t="str">
        <x:v>05 CAR-T Manufacturing</x:v>
      </x:c>
      <x:c r="B32" t="str">
        <x:v>Material</x:v>
      </x:c>
      <x:c r="C32" t="str">
        <x:v>Syringe 5 mL</x:v>
      </x:c>
      <x:c r="D32" t="str">
        <x:v>Terumo</x:v>
      </x:c>
      <x:c r="E32" t="str"/>
      <x:c r="F32" s="10" t="n">
        <x:v>2</x:v>
      </x:c>
      <x:c r="G32" t="str">
        <x:v>piece</x:v>
      </x:c>
      <x:c r="H32" t="str"/>
      <x:c r="I32" s="14"/>
      <x:c r="J32" t="str"/>
      <x:c r="K32" s="10" t="str">
        <x:v>UNQUOTED</x:v>
      </x:c>
      <x:c r="L32" t="str">
        <x:v>per start</x:v>
      </x:c>
      <x:c r="M32" t="str">
        <x:v>5-7 days typical; extended 8-13 days; confirm lot, quantity and vendor quote</x:v>
      </x:c>
      <x:c r="N32" s="16" t="str">
        <x:f>IF(OR(F32="",I32="",K32&lt;&gt;"VERIFIED"),"",F32*I32*('02 Patient Scenarios'!F2))</x:f>
      </x:c>
      <x:c r="O32" s="16" t="str">
        <x:f>IF(OR(F32="",I32="",K32&lt;&gt;"VERIFIED"),"",F32*I32*('02 Patient Scenarios'!F3))</x:f>
      </x:c>
      <x:c r="P32" s="16" t="str">
        <x:f>IF(OR(F32="",I32="",K32&lt;&gt;"VERIFIED"),"",F32*I32*('02 Patient Scenarios'!F4))</x:f>
      </x:c>
    </x:row>
    <x:row r="33">
      <x:c r="A33" t="str">
        <x:v>05 CAR-T Manufacturing</x:v>
      </x:c>
      <x:c r="B33" t="str">
        <x:v>Material</x:v>
      </x:c>
      <x:c r="C33" t="str">
        <x:v>Syringe 10 mL</x:v>
      </x:c>
      <x:c r="D33" t="str">
        <x:v>Terumo</x:v>
      </x:c>
      <x:c r="E33" t="str"/>
      <x:c r="F33" s="10" t="n">
        <x:v>2</x:v>
      </x:c>
      <x:c r="G33" t="str">
        <x:v>piece</x:v>
      </x:c>
      <x:c r="H33" t="str"/>
      <x:c r="I33" s="14"/>
      <x:c r="J33" t="str"/>
      <x:c r="K33" s="10" t="str">
        <x:v>UNQUOTED</x:v>
      </x:c>
      <x:c r="L33" t="str">
        <x:v>per start</x:v>
      </x:c>
      <x:c r="M33" t="str">
        <x:v>5-7 days typical; extended 8-13 days; confirm lot, quantity and vendor quote</x:v>
      </x:c>
      <x:c r="N33" s="16" t="str">
        <x:f>IF(OR(F33="",I33="",K33&lt;&gt;"VERIFIED"),"",F33*I33*('02 Patient Scenarios'!F2))</x:f>
      </x:c>
      <x:c r="O33" s="16" t="str">
        <x:f>IF(OR(F33="",I33="",K33&lt;&gt;"VERIFIED"),"",F33*I33*('02 Patient Scenarios'!F3))</x:f>
      </x:c>
      <x:c r="P33" s="16" t="str">
        <x:f>IF(OR(F33="",I33="",K33&lt;&gt;"VERIFIED"),"",F33*I33*('02 Patient Scenarios'!F4))</x:f>
      </x:c>
    </x:row>
    <x:row r="34">
      <x:c r="A34" t="str">
        <x:v>05 CAR-T Manufacturing</x:v>
      </x:c>
      <x:c r="B34" t="str">
        <x:v>Material</x:v>
      </x:c>
      <x:c r="C34" t="str">
        <x:v>Syringe 50 mL</x:v>
      </x:c>
      <x:c r="D34" t="str">
        <x:v>Terumo</x:v>
      </x:c>
      <x:c r="E34" t="str"/>
      <x:c r="F34" s="10" t="n">
        <x:v>12</x:v>
      </x:c>
      <x:c r="G34" t="str">
        <x:v>piece</x:v>
      </x:c>
      <x:c r="H34" t="str"/>
      <x:c r="I34" s="14"/>
      <x:c r="J34" t="str"/>
      <x:c r="K34" s="10" t="str">
        <x:v>UNQUOTED</x:v>
      </x:c>
      <x:c r="L34" t="str">
        <x:v>per start</x:v>
      </x:c>
      <x:c r="M34" t="str">
        <x:v>5-7 days typical; extended 8-13 days; confirm lot, quantity and vendor quote</x:v>
      </x:c>
      <x:c r="N34" s="16" t="str">
        <x:f>IF(OR(F34="",I34="",K34&lt;&gt;"VERIFIED"),"",F34*I34*('02 Patient Scenarios'!F2))</x:f>
      </x:c>
      <x:c r="O34" s="16" t="str">
        <x:f>IF(OR(F34="",I34="",K34&lt;&gt;"VERIFIED"),"",F34*I34*('02 Patient Scenarios'!F3))</x:f>
      </x:c>
      <x:c r="P34" s="16" t="str">
        <x:f>IF(OR(F34="",I34="",K34&lt;&gt;"VERIFIED"),"",F34*I34*('02 Patient Scenarios'!F4))</x:f>
      </x:c>
    </x:row>
    <x:row r="35">
      <x:c r="A35" t="str">
        <x:v>05 CAR-T Manufacturing</x:v>
      </x:c>
      <x:c r="B35" t="str">
        <x:v>Material</x:v>
      </x:c>
      <x:c r="C35" t="str">
        <x:v>18G blunt fill needle</x:v>
      </x:c>
      <x:c r="D35" t="str">
        <x:v>Medicarrier/Albiox</x:v>
      </x:c>
      <x:c r="E35" t="str">
        <x:v>N05A18B</x:v>
      </x:c>
      <x:c r="F35" s="10" t="n">
        <x:v>8</x:v>
      </x:c>
      <x:c r="G35" t="str">
        <x:v>piece</x:v>
      </x:c>
      <x:c r="H35" t="str"/>
      <x:c r="I35" s="14"/>
      <x:c r="J35" t="str"/>
      <x:c r="K35" s="10" t="str">
        <x:v>UNQUOTED</x:v>
      </x:c>
      <x:c r="L35" t="str">
        <x:v>per start</x:v>
      </x:c>
      <x:c r="M35" t="str">
        <x:v>5-7 days typical; extended 8-13 days; confirm lot, quantity and vendor quote</x:v>
      </x:c>
      <x:c r="N35" s="16" t="str">
        <x:f>IF(OR(F35="",I35="",K35&lt;&gt;"VERIFIED"),"",F35*I35*('02 Patient Scenarios'!F2))</x:f>
      </x:c>
      <x:c r="O35" s="16" t="str">
        <x:f>IF(OR(F35="",I35="",K35&lt;&gt;"VERIFIED"),"",F35*I35*('02 Patient Scenarios'!F3))</x:f>
      </x:c>
      <x:c r="P35" s="16" t="str">
        <x:f>IF(OR(F35="",I35="",K35&lt;&gt;"VERIFIED"),"",F35*I35*('02 Patient Scenarios'!F4))</x:f>
      </x:c>
    </x:row>
    <x:row r="36">
      <x:c r="A36" t="str">
        <x:v>05 CAR-T Manufacturing</x:v>
      </x:c>
      <x:c r="B36" t="str">
        <x:v>Consumable</x:v>
      </x:c>
      <x:c r="C36" t="str">
        <x:v>15 mL centrifuge tube</x:v>
      </x:c>
      <x:c r="D36" t="str">
        <x:v>TPP</x:v>
      </x:c>
      <x:c r="E36" t="str">
        <x:v>391015</x:v>
      </x:c>
      <x:c r="F36" s="10" t="n">
        <x:v>6</x:v>
      </x:c>
      <x:c r="G36" t="str">
        <x:v>piece / pack</x:v>
      </x:c>
      <x:c r="H36" t="str"/>
      <x:c r="I36" s="14"/>
      <x:c r="J36" t="str"/>
      <x:c r="K36" s="10" t="str">
        <x:v>UNQUOTED</x:v>
      </x:c>
      <x:c r="L36" t="str">
        <x:v>per start</x:v>
      </x:c>
      <x:c r="M36" t="str">
        <x:v>Source count may mean packs rather than pieces; confirm</x:v>
      </x:c>
      <x:c r="N36" s="16" t="str">
        <x:f>IF(OR(F36="",I36="",K36&lt;&gt;"VERIFIED"),"",F36*I36*('02 Patient Scenarios'!F2))</x:f>
      </x:c>
      <x:c r="O36" s="16" t="str">
        <x:f>IF(OR(F36="",I36="",K36&lt;&gt;"VERIFIED"),"",F36*I36*('02 Patient Scenarios'!F3))</x:f>
      </x:c>
      <x:c r="P36" s="16" t="str">
        <x:f>IF(OR(F36="",I36="",K36&lt;&gt;"VERIFIED"),"",F36*I36*('02 Patient Scenarios'!F4))</x:f>
      </x:c>
    </x:row>
    <x:row r="37">
      <x:c r="A37" t="str">
        <x:v>05 CAR-T Manufacturing</x:v>
      </x:c>
      <x:c r="B37" t="str">
        <x:v>Consumable</x:v>
      </x:c>
      <x:c r="C37" t="str">
        <x:v>50 mL centrifuge tube</x:v>
      </x:c>
      <x:c r="D37" t="str">
        <x:v>TPP</x:v>
      </x:c>
      <x:c r="E37" t="str">
        <x:v>391050 / 91550</x:v>
      </x:c>
      <x:c r="F37" s="10" t="n">
        <x:v>6</x:v>
      </x:c>
      <x:c r="G37" t="str">
        <x:v>piece / pack</x:v>
      </x:c>
      <x:c r="H37" t="str"/>
      <x:c r="I37" s="14"/>
      <x:c r="J37" t="str"/>
      <x:c r="K37" s="10" t="str">
        <x:v>UNQUOTED</x:v>
      </x:c>
      <x:c r="L37" t="str">
        <x:v>per start</x:v>
      </x:c>
      <x:c r="M37" t="str">
        <x:v>Source count may mean packs rather than pieces; confirm</x:v>
      </x:c>
      <x:c r="N37" s="16" t="str">
        <x:f>IF(OR(F37="",I37="",K37&lt;&gt;"VERIFIED"),"",F37*I37*('02 Patient Scenarios'!F2))</x:f>
      </x:c>
      <x:c r="O37" s="16" t="str">
        <x:f>IF(OR(F37="",I37="",K37&lt;&gt;"VERIFIED"),"",F37*I37*('02 Patient Scenarios'!F3))</x:f>
      </x:c>
      <x:c r="P37" s="16" t="str">
        <x:f>IF(OR(F37="",I37="",K37&lt;&gt;"VERIFIED"),"",F37*I37*('02 Patient Scenarios'!F4))</x:f>
      </x:c>
    </x:row>
    <x:row r="38">
      <x:c r="A38" t="str">
        <x:v>05 CAR-T Manufacturing</x:v>
      </x:c>
      <x:c r="B38" t="str">
        <x:v>Consumable</x:v>
      </x:c>
      <x:c r="C38" t="str">
        <x:v>15 mL endotoxin tube</x:v>
      </x:c>
      <x:c r="D38" t="str">
        <x:v>TPP</x:v>
      </x:c>
      <x:c r="E38" t="str">
        <x:v>391115</x:v>
      </x:c>
      <x:c r="F38" s="10" t="n">
        <x:v>1</x:v>
      </x:c>
      <x:c r="G38" t="str">
        <x:v>piece / pack</x:v>
      </x:c>
      <x:c r="H38" t="str"/>
      <x:c r="I38" s="14"/>
      <x:c r="J38" t="str"/>
      <x:c r="K38" s="10" t="str">
        <x:v>UNQUOTED</x:v>
      </x:c>
      <x:c r="L38" t="str">
        <x:v>per start</x:v>
      </x:c>
      <x:c r="M38" t="str">
        <x:v>Source count may mean packs rather than pieces; confirm</x:v>
      </x:c>
      <x:c r="N38" s="16" t="str">
        <x:f>IF(OR(F38="",I38="",K38&lt;&gt;"VERIFIED"),"",F38*I38*('02 Patient Scenarios'!F2))</x:f>
      </x:c>
      <x:c r="O38" s="16" t="str">
        <x:f>IF(OR(F38="",I38="",K38&lt;&gt;"VERIFIED"),"",F38*I38*('02 Patient Scenarios'!F3))</x:f>
      </x:c>
      <x:c r="P38" s="16" t="str">
        <x:f>IF(OR(F38="",I38="",K38&lt;&gt;"VERIFIED"),"",F38*I38*('02 Patient Scenarios'!F4))</x:f>
      </x:c>
    </x:row>
    <x:row r="39">
      <x:c r="A39" t="str">
        <x:v>05 CAR-T Manufacturing</x:v>
      </x:c>
      <x:c r="B39" t="str">
        <x:v>Consumable</x:v>
      </x:c>
      <x:c r="C39" t="str">
        <x:v>5 mL serological pipette</x:v>
      </x:c>
      <x:c r="D39" t="str">
        <x:v>TPP</x:v>
      </x:c>
      <x:c r="E39" t="str">
        <x:v>394005</x:v>
      </x:c>
      <x:c r="F39" s="10" t="n">
        <x:v>3</x:v>
      </x:c>
      <x:c r="G39" t="str">
        <x:v>piece / pack</x:v>
      </x:c>
      <x:c r="H39" t="str"/>
      <x:c r="I39" s="14"/>
      <x:c r="J39" t="str"/>
      <x:c r="K39" s="10" t="str">
        <x:v>UNQUOTED</x:v>
      </x:c>
      <x:c r="L39" t="str">
        <x:v>per start</x:v>
      </x:c>
      <x:c r="M39" t="str">
        <x:v>Source count may mean packs rather than pieces; confirm</x:v>
      </x:c>
      <x:c r="N39" s="16" t="str">
        <x:f>IF(OR(F39="",I39="",K39&lt;&gt;"VERIFIED"),"",F39*I39*('02 Patient Scenarios'!F2))</x:f>
      </x:c>
      <x:c r="O39" s="16" t="str">
        <x:f>IF(OR(F39="",I39="",K39&lt;&gt;"VERIFIED"),"",F39*I39*('02 Patient Scenarios'!F3))</x:f>
      </x:c>
      <x:c r="P39" s="16" t="str">
        <x:f>IF(OR(F39="",I39="",K39&lt;&gt;"VERIFIED"),"",F39*I39*('02 Patient Scenarios'!F4))</x:f>
      </x:c>
    </x:row>
    <x:row r="40">
      <x:c r="A40" t="str">
        <x:v>05 CAR-T Manufacturing</x:v>
      </x:c>
      <x:c r="B40" t="str">
        <x:v>Consumable</x:v>
      </x:c>
      <x:c r="C40" t="str">
        <x:v>10 mL serological pipette</x:v>
      </x:c>
      <x:c r="D40" t="str">
        <x:v>TPP</x:v>
      </x:c>
      <x:c r="E40" t="str">
        <x:v>394010</x:v>
      </x:c>
      <x:c r="F40" s="10" t="n">
        <x:v>6</x:v>
      </x:c>
      <x:c r="G40" t="str">
        <x:v>piece / pack</x:v>
      </x:c>
      <x:c r="H40" t="str"/>
      <x:c r="I40" s="14"/>
      <x:c r="J40" t="str"/>
      <x:c r="K40" s="10" t="str">
        <x:v>UNQUOTED</x:v>
      </x:c>
      <x:c r="L40" t="str">
        <x:v>per start</x:v>
      </x:c>
      <x:c r="M40" t="str">
        <x:v>Source count may mean packs rather than pieces; confirm</x:v>
      </x:c>
      <x:c r="N40" s="16" t="str">
        <x:f>IF(OR(F40="",I40="",K40&lt;&gt;"VERIFIED"),"",F40*I40*('02 Patient Scenarios'!F2))</x:f>
      </x:c>
      <x:c r="O40" s="16" t="str">
        <x:f>IF(OR(F40="",I40="",K40&lt;&gt;"VERIFIED"),"",F40*I40*('02 Patient Scenarios'!F3))</x:f>
      </x:c>
      <x:c r="P40" s="16" t="str">
        <x:f>IF(OR(F40="",I40="",K40&lt;&gt;"VERIFIED"),"",F40*I40*('02 Patient Scenarios'!F4))</x:f>
      </x:c>
    </x:row>
    <x:row r="41">
      <x:c r="A41" t="str">
        <x:v>05 CAR-T Manufacturing</x:v>
      </x:c>
      <x:c r="B41" t="str">
        <x:v>Consumable</x:v>
      </x:c>
      <x:c r="C41" t="str">
        <x:v>25 mL serological pipette</x:v>
      </x:c>
      <x:c r="D41" t="str">
        <x:v>TPP</x:v>
      </x:c>
      <x:c r="E41" t="str">
        <x:v>394024 / 394525</x:v>
      </x:c>
      <x:c r="F41" s="10" t="n">
        <x:v>6</x:v>
      </x:c>
      <x:c r="G41" t="str">
        <x:v>piece / pack</x:v>
      </x:c>
      <x:c r="H41" t="str"/>
      <x:c r="I41" s="14"/>
      <x:c r="J41" t="str"/>
      <x:c r="K41" s="10" t="str">
        <x:v>UNQUOTED</x:v>
      </x:c>
      <x:c r="L41" t="str">
        <x:v>per start</x:v>
      </x:c>
      <x:c r="M41" t="str">
        <x:v>Source count may mean packs rather than pieces; confirm</x:v>
      </x:c>
      <x:c r="N41" s="16" t="str">
        <x:f>IF(OR(F41="",I41="",K41&lt;&gt;"VERIFIED"),"",F41*I41*('02 Patient Scenarios'!F2))</x:f>
      </x:c>
      <x:c r="O41" s="16" t="str">
        <x:f>IF(OR(F41="",I41="",K41&lt;&gt;"VERIFIED"),"",F41*I41*('02 Patient Scenarios'!F3))</x:f>
      </x:c>
      <x:c r="P41" s="16" t="str">
        <x:f>IF(OR(F41="",I41="",K41&lt;&gt;"VERIFIED"),"",F41*I41*('02 Patient Scenarios'!F4))</x:f>
      </x:c>
    </x:row>
    <x:row r="42">
      <x:c r="A42" t="str">
        <x:v>05 CAR-T Manufacturing</x:v>
      </x:c>
      <x:c r="B42" t="str">
        <x:v>Consumable</x:v>
      </x:c>
      <x:c r="C42" t="str">
        <x:v>50 mL serological pipette</x:v>
      </x:c>
      <x:c r="D42" t="str">
        <x:v>TPP</x:v>
      </x:c>
      <x:c r="E42" t="str">
        <x:v>394550</x:v>
      </x:c>
      <x:c r="F42" s="10" t="n">
        <x:v>4</x:v>
      </x:c>
      <x:c r="G42" t="str">
        <x:v>piece / pack</x:v>
      </x:c>
      <x:c r="H42" t="str"/>
      <x:c r="I42" s="14"/>
      <x:c r="J42" t="str"/>
      <x:c r="K42" s="10" t="str">
        <x:v>UNQUOTED</x:v>
      </x:c>
      <x:c r="L42" t="str">
        <x:v>per start</x:v>
      </x:c>
      <x:c r="M42" t="str">
        <x:v>Source count may mean packs rather than pieces; confirm</x:v>
      </x:c>
      <x:c r="N42" s="16" t="str">
        <x:f>IF(OR(F42="",I42="",K42&lt;&gt;"VERIFIED"),"",F42*I42*('02 Patient Scenarios'!F2))</x:f>
      </x:c>
      <x:c r="O42" s="16" t="str">
        <x:f>IF(OR(F42="",I42="",K42&lt;&gt;"VERIFIED"),"",F42*I42*('02 Patient Scenarios'!F3))</x:f>
      </x:c>
      <x:c r="P42" s="16" t="str">
        <x:f>IF(OR(F42="",I42="",K42&lt;&gt;"VERIFIED"),"",F42*I42*('02 Patient Scenarios'!F4))</x:f>
      </x:c>
    </x:row>
    <x:row r="43">
      <x:c r="A43" t="str">
        <x:v>05 CAR-T Manufacturing</x:v>
      </x:c>
      <x:c r="B43" t="str">
        <x:v>Consumable</x:v>
      </x:c>
      <x:c r="C43" t="str">
        <x:v>150 mL sterile flask</x:v>
      </x:c>
      <x:c r="D43" t="str">
        <x:v>TPP</x:v>
      </x:c>
      <x:c r="E43" t="str">
        <x:v>399157</x:v>
      </x:c>
      <x:c r="F43" s="10" t="n">
        <x:v>6</x:v>
      </x:c>
      <x:c r="G43" t="str">
        <x:v>piece / pack</x:v>
      </x:c>
      <x:c r="H43" t="str"/>
      <x:c r="I43" s="14"/>
      <x:c r="J43" t="str"/>
      <x:c r="K43" s="10" t="str">
        <x:v>UNQUOTED</x:v>
      </x:c>
      <x:c r="L43" t="str">
        <x:v>per start</x:v>
      </x:c>
      <x:c r="M43" t="str">
        <x:v>Source count may mean packs rather than pieces; confirm</x:v>
      </x:c>
      <x:c r="N43" s="16" t="str">
        <x:f>IF(OR(F43="",I43="",K43&lt;&gt;"VERIFIED"),"",F43*I43*('02 Patient Scenarios'!F2))</x:f>
      </x:c>
      <x:c r="O43" s="16" t="str">
        <x:f>IF(OR(F43="",I43="",K43&lt;&gt;"VERIFIED"),"",F43*I43*('02 Patient Scenarios'!F3))</x:f>
      </x:c>
      <x:c r="P43" s="16" t="str">
        <x:f>IF(OR(F43="",I43="",K43&lt;&gt;"VERIFIED"),"",F43*I43*('02 Patient Scenarios'!F4))</x:f>
      </x:c>
    </x:row>
    <x:row r="44">
      <x:c r="A44" t="str">
        <x:v>05 CAR-T Manufacturing</x:v>
      </x:c>
      <x:c r="B44" t="str">
        <x:v>Consumable</x:v>
      </x:c>
      <x:c r="C44" t="str">
        <x:v>250 mL sterile flask</x:v>
      </x:c>
      <x:c r="D44" t="str">
        <x:v>TPP</x:v>
      </x:c>
      <x:c r="E44" t="str">
        <x:v>399257</x:v>
      </x:c>
      <x:c r="F44" s="10" t="n">
        <x:v>4</x:v>
      </x:c>
      <x:c r="G44" t="str">
        <x:v>piece / pack</x:v>
      </x:c>
      <x:c r="H44" t="str"/>
      <x:c r="I44" s="14"/>
      <x:c r="J44" t="str"/>
      <x:c r="K44" s="10" t="str">
        <x:v>UNQUOTED</x:v>
      </x:c>
      <x:c r="L44" t="str">
        <x:v>per start</x:v>
      </x:c>
      <x:c r="M44" t="str">
        <x:v>Source count may mean packs rather than pieces; confirm</x:v>
      </x:c>
      <x:c r="N44" s="16" t="str">
        <x:f>IF(OR(F44="",I44="",K44&lt;&gt;"VERIFIED"),"",F44*I44*('02 Patient Scenarios'!F2))</x:f>
      </x:c>
      <x:c r="O44" s="16" t="str">
        <x:f>IF(OR(F44="",I44="",K44&lt;&gt;"VERIFIED"),"",F44*I44*('02 Patient Scenarios'!F3))</x:f>
      </x:c>
      <x:c r="P44" s="16" t="str">
        <x:f>IF(OR(F44="",I44="",K44&lt;&gt;"VERIFIED"),"",F44*I44*('02 Patient Scenarios'!F4))</x:f>
      </x:c>
    </x:row>
    <x:row r="45">
      <x:c r="A45" t="str">
        <x:v>05 CAR-T Manufacturing</x:v>
      </x:c>
      <x:c r="B45" t="str">
        <x:v>Consumable</x:v>
      </x:c>
      <x:c r="C45" t="str">
        <x:v>500 mL sterile flask</x:v>
      </x:c>
      <x:c r="D45" t="str">
        <x:v>TPP</x:v>
      </x:c>
      <x:c r="E45" t="str">
        <x:v>399507</x:v>
      </x:c>
      <x:c r="F45" s="10" t="n">
        <x:v>4</x:v>
      </x:c>
      <x:c r="G45" t="str">
        <x:v>piece / pack</x:v>
      </x:c>
      <x:c r="H45" t="str"/>
      <x:c r="I45" s="14"/>
      <x:c r="J45" t="str"/>
      <x:c r="K45" s="10" t="str">
        <x:v>UNQUOTED</x:v>
      </x:c>
      <x:c r="L45" t="str">
        <x:v>per start</x:v>
      </x:c>
      <x:c r="M45" t="str">
        <x:v>Source count may mean packs rather than pieces; confirm</x:v>
      </x:c>
      <x:c r="N45" s="16" t="str">
        <x:f>IF(OR(F45="",I45="",K45&lt;&gt;"VERIFIED"),"",F45*I45*('02 Patient Scenarios'!F2))</x:f>
      </x:c>
      <x:c r="O45" s="16" t="str">
        <x:f>IF(OR(F45="",I45="",K45&lt;&gt;"VERIFIED"),"",F45*I45*('02 Patient Scenarios'!F3))</x:f>
      </x:c>
      <x:c r="P45" s="16" t="str">
        <x:f>IF(OR(F45="",I45="",K45&lt;&gt;"VERIFIED"),"",F45*I45*('02 Patient Scenarios'!F4))</x:f>
      </x:c>
    </x:row>
    <x:row r="46">
      <x:c r="A46" t="str">
        <x:v>05 CAR-T Manufacturing</x:v>
      </x:c>
      <x:c r="B46" t="str">
        <x:v>Consumable</x:v>
      </x:c>
      <x:c r="C46" t="str">
        <x:v>1.5 mL cryovial</x:v>
      </x:c>
      <x:c r="D46" t="str">
        <x:v>TPP</x:v>
      </x:c>
      <x:c r="E46" t="str">
        <x:v>389020</x:v>
      </x:c>
      <x:c r="F46" s="10" t="n">
        <x:v>3</x:v>
      </x:c>
      <x:c r="G46" t="str">
        <x:v>piece / pack</x:v>
      </x:c>
      <x:c r="H46" t="str"/>
      <x:c r="I46" s="14"/>
      <x:c r="J46" t="str"/>
      <x:c r="K46" s="10" t="str">
        <x:v>UNQUOTED</x:v>
      </x:c>
      <x:c r="L46" t="str">
        <x:v>per start</x:v>
      </x:c>
      <x:c r="M46" t="str">
        <x:v>Source count may mean packs rather than pieces; confirm</x:v>
      </x:c>
      <x:c r="N46" s="16" t="str">
        <x:f>IF(OR(F46="",I46="",K46&lt;&gt;"VERIFIED"),"",F46*I46*('02 Patient Scenarios'!F2))</x:f>
      </x:c>
      <x:c r="O46" s="16" t="str">
        <x:f>IF(OR(F46="",I46="",K46&lt;&gt;"VERIFIED"),"",F46*I46*('02 Patient Scenarios'!F3))</x:f>
      </x:c>
      <x:c r="P46" s="16" t="str">
        <x:f>IF(OR(F46="",I46="",K46&lt;&gt;"VERIFIED"),"",F46*I46*('02 Patient Scenarios'!F4))</x:f>
      </x:c>
    </x:row>
    <x:row r="47">
      <x:c r="A47" t="str">
        <x:v>05 CAR-T Manufacturing</x:v>
      </x:c>
      <x:c r="B47" t="str">
        <x:v>Consumable</x:v>
      </x:c>
      <x:c r="C47" t="str">
        <x:v>4.5 mL cryovial</x:v>
      </x:c>
      <x:c r="D47" t="str">
        <x:v>TPP</x:v>
      </x:c>
      <x:c r="E47" t="str">
        <x:v>389050</x:v>
      </x:c>
      <x:c r="F47" s="10" t="n">
        <x:v>1</x:v>
      </x:c>
      <x:c r="G47" t="str">
        <x:v>piece / pack</x:v>
      </x:c>
      <x:c r="H47" t="str"/>
      <x:c r="I47" s="14"/>
      <x:c r="J47" t="str"/>
      <x:c r="K47" s="10" t="str">
        <x:v>UNQUOTED</x:v>
      </x:c>
      <x:c r="L47" t="str">
        <x:v>per start</x:v>
      </x:c>
      <x:c r="M47" t="str">
        <x:v>Source count may mean packs rather than pieces; confirm</x:v>
      </x:c>
      <x:c r="N47" s="16" t="str">
        <x:f>IF(OR(F47="",I47="",K47&lt;&gt;"VERIFIED"),"",F47*I47*('02 Patient Scenarios'!F2))</x:f>
      </x:c>
      <x:c r="O47" s="16" t="str">
        <x:f>IF(OR(F47="",I47="",K47&lt;&gt;"VERIFIED"),"",F47*I47*('02 Patient Scenarios'!F3))</x:f>
      </x:c>
      <x:c r="P47" s="16" t="str">
        <x:f>IF(OR(F47="",I47="",K47&lt;&gt;"VERIFIED"),"",F47*I47*('02 Patient Scenarios'!F4))</x:f>
      </x:c>
    </x:row>
    <x:row r="48">
      <x:c r="A48" t="str">
        <x:v>05 CAR-T Manufacturing</x:v>
      </x:c>
      <x:c r="B48" t="str">
        <x:v>Consumable</x:v>
      </x:c>
      <x:c r="C48" t="str">
        <x:v>Filtered tips 100-1000 uL</x:v>
      </x:c>
      <x:c r="D48" t="str">
        <x:v>Thermo Fisher</x:v>
      </x:c>
      <x:c r="E48" t="str">
        <x:v>2079E</x:v>
      </x:c>
      <x:c r="F48" s="10" t="n">
        <x:v>1</x:v>
      </x:c>
      <x:c r="G48" t="str">
        <x:v>box / bag</x:v>
      </x:c>
      <x:c r="H48" t="str"/>
      <x:c r="I48" s="14"/>
      <x:c r="J48" t="str"/>
      <x:c r="K48" s="10" t="str">
        <x:v>UNQUOTED</x:v>
      </x:c>
      <x:c r="L48" t="str">
        <x:v>per start</x:v>
      </x:c>
      <x:c r="M48" t="str">
        <x:v>Confirm package size and quantity</x:v>
      </x:c>
      <x:c r="N48" s="16" t="str">
        <x:f>IF(OR(F48="",I48="",K48&lt;&gt;"VERIFIED"),"",F48*I48*('02 Patient Scenarios'!F2))</x:f>
      </x:c>
      <x:c r="O48" s="16" t="str">
        <x:f>IF(OR(F48="",I48="",K48&lt;&gt;"VERIFIED"),"",F48*I48*('02 Patient Scenarios'!F3))</x:f>
      </x:c>
      <x:c r="P48" s="16" t="str">
        <x:f>IF(OR(F48="",I48="",K48&lt;&gt;"VERIFIED"),"",F48*I48*('02 Patient Scenarios'!F4))</x:f>
      </x:c>
    </x:row>
    <x:row r="49">
      <x:c r="A49" t="str">
        <x:v>05 CAR-T Manufacturing</x:v>
      </x:c>
      <x:c r="B49" t="str">
        <x:v>Consumable</x:v>
      </x:c>
      <x:c r="C49" t="str">
        <x:v>Filtered tips 10-100 uL</x:v>
      </x:c>
      <x:c r="D49" t="str">
        <x:v>Thermo Fisher</x:v>
      </x:c>
      <x:c r="E49" t="str">
        <x:v>2065E</x:v>
      </x:c>
      <x:c r="F49" s="10" t="n">
        <x:v>1</x:v>
      </x:c>
      <x:c r="G49" t="str">
        <x:v>box / bag</x:v>
      </x:c>
      <x:c r="H49" t="str"/>
      <x:c r="I49" s="14"/>
      <x:c r="J49" t="str"/>
      <x:c r="K49" s="10" t="str">
        <x:v>UNQUOTED</x:v>
      </x:c>
      <x:c r="L49" t="str">
        <x:v>per start</x:v>
      </x:c>
      <x:c r="M49" t="str">
        <x:v>Confirm package size and quantity</x:v>
      </x:c>
      <x:c r="N49" s="16" t="str">
        <x:f>IF(OR(F49="",I49="",K49&lt;&gt;"VERIFIED"),"",F49*I49*('02 Patient Scenarios'!F2))</x:f>
      </x:c>
      <x:c r="O49" s="16" t="str">
        <x:f>IF(OR(F49="",I49="",K49&lt;&gt;"VERIFIED"),"",F49*I49*('02 Patient Scenarios'!F3))</x:f>
      </x:c>
      <x:c r="P49" s="16" t="str">
        <x:f>IF(OR(F49="",I49="",K49&lt;&gt;"VERIFIED"),"",F49*I49*('02 Patient Scenarios'!F4))</x:f>
      </x:c>
    </x:row>
    <x:row r="50">
      <x:c r="A50" t="str">
        <x:v>05 CAR-T Manufacturing</x:v>
      </x:c>
      <x:c r="B50" t="str">
        <x:v>Consumable</x:v>
      </x:c>
      <x:c r="C50" t="str">
        <x:v>Pipette filler filter</x:v>
      </x:c>
      <x:c r="D50" t="str">
        <x:v>VWR</x:v>
      </x:c>
      <x:c r="E50" t="str">
        <x:v>612-1963</x:v>
      </x:c>
      <x:c r="F50" s="10" t="n">
        <x:v>1</x:v>
      </x:c>
      <x:c r="G50" t="str">
        <x:v>box / bag</x:v>
      </x:c>
      <x:c r="H50" t="str"/>
      <x:c r="I50" s="14"/>
      <x:c r="J50" t="str"/>
      <x:c r="K50" s="10" t="str">
        <x:v>UNQUOTED</x:v>
      </x:c>
      <x:c r="L50" t="str">
        <x:v>per start</x:v>
      </x:c>
      <x:c r="M50" t="str">
        <x:v>Confirm package size and quantity</x:v>
      </x:c>
      <x:c r="N50" s="16" t="str">
        <x:f>IF(OR(F50="",I50="",K50&lt;&gt;"VERIFIED"),"",F50*I50*('02 Patient Scenarios'!F2))</x:f>
      </x:c>
      <x:c r="O50" s="16" t="str">
        <x:f>IF(OR(F50="",I50="",K50&lt;&gt;"VERIFIED"),"",F50*I50*('02 Patient Scenarios'!F3))</x:f>
      </x:c>
      <x:c r="P50" s="16" t="str">
        <x:f>IF(OR(F50="",I50="",K50&lt;&gt;"VERIFIED"),"",F50*I50*('02 Patient Scenarios'!F4))</x:f>
      </x:c>
    </x:row>
    <x:row r="51">
      <x:c r="A51" t="str">
        <x:v>05 CAR-T Manufacturing</x:v>
      </x:c>
      <x:c r="B51" t="str">
        <x:v>Consumable</x:v>
      </x:c>
      <x:c r="C51" t="str">
        <x:v>Via1 cassette</x:v>
      </x:c>
      <x:c r="D51" t="str">
        <x:v>ChemoMetec</x:v>
      </x:c>
      <x:c r="E51" t="str">
        <x:v>941-0012</x:v>
      </x:c>
      <x:c r="F51" s="10" t="n">
        <x:v>2</x:v>
      </x:c>
      <x:c r="G51" t="str">
        <x:v>box / bag</x:v>
      </x:c>
      <x:c r="H51" t="str"/>
      <x:c r="I51" s="14"/>
      <x:c r="J51" t="str"/>
      <x:c r="K51" s="10" t="str">
        <x:v>UNQUOTED</x:v>
      </x:c>
      <x:c r="L51" t="str">
        <x:v>per start</x:v>
      </x:c>
      <x:c r="M51" t="str">
        <x:v>Confirm package size and quantity</x:v>
      </x:c>
      <x:c r="N51" s="16" t="str">
        <x:f>IF(OR(F51="",I51="",K51&lt;&gt;"VERIFIED"),"",F51*I51*('02 Patient Scenarios'!F2))</x:f>
      </x:c>
      <x:c r="O51" s="16" t="str">
        <x:f>IF(OR(F51="",I51="",K51&lt;&gt;"VERIFIED"),"",F51*I51*('02 Patient Scenarios'!F3))</x:f>
      </x:c>
      <x:c r="P51" s="16" t="str">
        <x:f>IF(OR(F51="",I51="",K51&lt;&gt;"VERIFIED"),"",F51*I51*('02 Patient Scenarios'!F4))</x:f>
      </x:c>
    </x:row>
    <x:row r="52">
      <x:c r="A52" t="str">
        <x:v>05 CAR-T Manufacturing</x:v>
      </x:c>
      <x:c r="B52" t="str">
        <x:v>Consumable</x:v>
      </x:c>
      <x:c r="C52" t="str">
        <x:v>Sterile welder wafers</x:v>
      </x:c>
      <x:c r="D52" t="str">
        <x:v>Terumo</x:v>
      </x:c>
      <x:c r="E52" t="str">
        <x:v>SCW017</x:v>
      </x:c>
      <x:c r="F52" s="10" t="n">
        <x:v>1</x:v>
      </x:c>
      <x:c r="G52" t="str">
        <x:v>box / bag</x:v>
      </x:c>
      <x:c r="H52" t="str"/>
      <x:c r="I52" s="14"/>
      <x:c r="J52" t="str"/>
      <x:c r="K52" s="10" t="str">
        <x:v>UNQUOTED</x:v>
      </x:c>
      <x:c r="L52" t="str">
        <x:v>per start</x:v>
      </x:c>
      <x:c r="M52" t="str">
        <x:v>Confirm package size and quantity</x:v>
      </x:c>
      <x:c r="N52" s="16" t="str">
        <x:f>IF(OR(F52="",I52="",K52&lt;&gt;"VERIFIED"),"",F52*I52*('02 Patient Scenarios'!F2))</x:f>
      </x:c>
      <x:c r="O52" s="16" t="str">
        <x:f>IF(OR(F52="",I52="",K52&lt;&gt;"VERIFIED"),"",F52*I52*('02 Patient Scenarios'!F3))</x:f>
      </x:c>
      <x:c r="P52" s="16" t="str">
        <x:f>IF(OR(F52="",I52="",K52&lt;&gt;"VERIFIED"),"",F52*I52*('02 Patient Scenarios'!F4))</x:f>
      </x:c>
    </x:row>
    <x:row r="53">
      <x:c r="A53" t="str">
        <x:v>06 In-Process QC</x:v>
      </x:c>
      <x:c r="B53" t="str">
        <x:v>QC</x:v>
      </x:c>
      <x:c r="C53" t="str">
        <x:v>NC-200 cell count and viability Day 3</x:v>
      </x:c>
      <x:c r="D53" t="str"/>
      <x:c r="E53" t="str"/>
      <x:c r="F53" s="10" t="n">
        <x:v>1</x:v>
      </x:c>
      <x:c r="G53" t="str">
        <x:v>test</x:v>
      </x:c>
      <x:c r="H53" t="str"/>
      <x:c r="I53" s="14"/>
      <x:c r="J53" t="str"/>
      <x:c r="K53" s="10" t="str">
        <x:v>UNQUOTED</x:v>
      </x:c>
      <x:c r="L53" t="str">
        <x:v>per start</x:v>
      </x:c>
      <x:c r="M53" t="str">
        <x:v>Additional sampling for extended manufacturing</x:v>
      </x:c>
      <x:c r="N53" s="16" t="str">
        <x:f>IF(OR(F53="",I53="",K53&lt;&gt;"VERIFIED"),"",F53*I53*('02 Patient Scenarios'!F2))</x:f>
      </x:c>
      <x:c r="O53" s="16" t="str">
        <x:f>IF(OR(F53="",I53="",K53&lt;&gt;"VERIFIED"),"",F53*I53*('02 Patient Scenarios'!F3))</x:f>
      </x:c>
      <x:c r="P53" s="16" t="str">
        <x:f>IF(OR(F53="",I53="",K53&lt;&gt;"VERIFIED"),"",F53*I53*('02 Patient Scenarios'!F4))</x:f>
      </x:c>
    </x:row>
    <x:row r="54">
      <x:c r="A54" t="str">
        <x:v>06 In-Process QC</x:v>
      </x:c>
      <x:c r="B54" t="str">
        <x:v>QC</x:v>
      </x:c>
      <x:c r="C54" t="str">
        <x:v>NC-200 cell count and viability Day 7 / Day 13</x:v>
      </x:c>
      <x:c r="D54" t="str"/>
      <x:c r="E54" t="str"/>
      <x:c r="F54" s="10" t="n">
        <x:v>1</x:v>
      </x:c>
      <x:c r="G54" t="str">
        <x:v>test</x:v>
      </x:c>
      <x:c r="H54" t="str"/>
      <x:c r="I54" s="14"/>
      <x:c r="J54" t="str"/>
      <x:c r="K54" s="10" t="str">
        <x:v>UNQUOTED</x:v>
      </x:c>
      <x:c r="L54" t="str">
        <x:v>per start</x:v>
      </x:c>
      <x:c r="M54" t="str">
        <x:v>Additional sampling for extended manufacturing</x:v>
      </x:c>
      <x:c r="N54" s="16" t="str">
        <x:f>IF(OR(F54="",I54="",K54&lt;&gt;"VERIFIED"),"",F54*I54*('02 Patient Scenarios'!F2))</x:f>
      </x:c>
      <x:c r="O54" s="16" t="str">
        <x:f>IF(OR(F54="",I54="",K54&lt;&gt;"VERIFIED"),"",F54*I54*('02 Patient Scenarios'!F3))</x:f>
      </x:c>
      <x:c r="P54" s="16" t="str">
        <x:f>IF(OR(F54="",I54="",K54&lt;&gt;"VERIFIED"),"",F54*I54*('02 Patient Scenarios'!F4))</x:f>
      </x:c>
    </x:row>
    <x:row r="55">
      <x:c r="A55" t="str">
        <x:v>06 In-Process QC</x:v>
      </x:c>
      <x:c r="B55" t="str">
        <x:v>QC</x:v>
      </x:c>
      <x:c r="C55" t="str">
        <x:v>Flow cytometry Day 3</x:v>
      </x:c>
      <x:c r="D55" t="str"/>
      <x:c r="E55" t="str"/>
      <x:c r="F55" s="10" t="n">
        <x:v>1</x:v>
      </x:c>
      <x:c r="G55" t="str">
        <x:v>test</x:v>
      </x:c>
      <x:c r="H55" t="str"/>
      <x:c r="I55" s="14"/>
      <x:c r="J55" t="str"/>
      <x:c r="K55" s="10" t="str">
        <x:v>UNQUOTED</x:v>
      </x:c>
      <x:c r="L55" t="str">
        <x:v>per start</x:v>
      </x:c>
      <x:c r="M55" t="str">
        <x:v>Additional sampling for extended manufacturing</x:v>
      </x:c>
      <x:c r="N55" s="16" t="str">
        <x:f>IF(OR(F55="",I55="",K55&lt;&gt;"VERIFIED"),"",F55*I55*('02 Patient Scenarios'!F2))</x:f>
      </x:c>
      <x:c r="O55" s="16" t="str">
        <x:f>IF(OR(F55="",I55="",K55&lt;&gt;"VERIFIED"),"",F55*I55*('02 Patient Scenarios'!F3))</x:f>
      </x:c>
      <x:c r="P55" s="16" t="str">
        <x:f>IF(OR(F55="",I55="",K55&lt;&gt;"VERIFIED"),"",F55*I55*('02 Patient Scenarios'!F4))</x:f>
      </x:c>
    </x:row>
    <x:row r="56">
      <x:c r="A56" t="str">
        <x:v>06 In-Process QC</x:v>
      </x:c>
      <x:c r="B56" t="str">
        <x:v>QC</x:v>
      </x:c>
      <x:c r="C56" t="str">
        <x:v>Flow cytometry Day 7 / Day 13</x:v>
      </x:c>
      <x:c r="D56" t="str"/>
      <x:c r="E56" t="str"/>
      <x:c r="F56" s="10" t="n">
        <x:v>1</x:v>
      </x:c>
      <x:c r="G56" t="str">
        <x:v>test</x:v>
      </x:c>
      <x:c r="H56" t="str"/>
      <x:c r="I56" s="14"/>
      <x:c r="J56" t="str"/>
      <x:c r="K56" s="10" t="str">
        <x:v>UNQUOTED</x:v>
      </x:c>
      <x:c r="L56" t="str">
        <x:v>per start</x:v>
      </x:c>
      <x:c r="M56" t="str">
        <x:v>Additional sampling for extended manufacturing</x:v>
      </x:c>
      <x:c r="N56" s="16" t="str">
        <x:f>IF(OR(F56="",I56="",K56&lt;&gt;"VERIFIED"),"",F56*I56*('02 Patient Scenarios'!F2))</x:f>
      </x:c>
      <x:c r="O56" s="16" t="str">
        <x:f>IF(OR(F56="",I56="",K56&lt;&gt;"VERIFIED"),"",F56*I56*('02 Patient Scenarios'!F3))</x:f>
      </x:c>
      <x:c r="P56" s="16" t="str">
        <x:f>IF(OR(F56="",I56="",K56&lt;&gt;"VERIFIED"),"",F56*I56*('02 Patient Scenarios'!F4))</x:f>
      </x:c>
    </x:row>
    <x:row r="57">
      <x:c r="A57" t="str">
        <x:v>07 Harvest &amp; Cryo</x:v>
      </x:c>
      <x:c r="B57" t="str">
        <x:v>Material</x:v>
      </x:c>
      <x:c r="C57" t="str">
        <x:v>DMSO</x:v>
      </x:c>
      <x:c r="D57" t="str">
        <x:v>WAK-Chemie</x:v>
      </x:c>
      <x:c r="E57" t="str">
        <x:v>WAK-DMSO10</x:v>
      </x:c>
      <x:c r="F57" s="10" t="n">
        <x:v>6</x:v>
      </x:c>
      <x:c r="G57" t="str">
        <x:v>piece / pack</x:v>
      </x:c>
      <x:c r="H57" t="str"/>
      <x:c r="I57" s="14"/>
      <x:c r="J57" t="str"/>
      <x:c r="K57" s="10" t="str">
        <x:v>UNQUOTED</x:v>
      </x:c>
      <x:c r="L57" t="str">
        <x:v>per completed</x:v>
      </x:c>
      <x:c r="M57" t="str">
        <x:v>Select correct bag size; do not sum mutually exclusive alternatives</x:v>
      </x:c>
      <x:c r="N57" s="16" t="str">
        <x:f>IF(OR(F57="",I57="",K57&lt;&gt;"VERIFIED"),"",F57*I57*('02 Patient Scenarios'!G2))</x:f>
      </x:c>
      <x:c r="O57" s="16" t="str">
        <x:f>IF(OR(F57="",I57="",K57&lt;&gt;"VERIFIED"),"",F57*I57*('02 Patient Scenarios'!G3))</x:f>
      </x:c>
      <x:c r="P57" s="16" t="str">
        <x:f>IF(OR(F57="",I57="",K57&lt;&gt;"VERIFIED"),"",F57*I57*('02 Patient Scenarios'!G4))</x:f>
      </x:c>
    </x:row>
    <x:row r="58">
      <x:c r="A58" t="str">
        <x:v>07 Harvest &amp; Cryo</x:v>
      </x:c>
      <x:c r="B58" t="str">
        <x:v>Material</x:v>
      </x:c>
      <x:c r="C58" t="str">
        <x:v>Cryobag 10-25 mL</x:v>
      </x:c>
      <x:c r="D58" t="str">
        <x:v>Macopharma</x:v>
      </x:c>
      <x:c r="E58" t="str">
        <x:v>GSR 1000AU</x:v>
      </x:c>
      <x:c r="F58" s="10"/>
      <x:c r="G58" t="str">
        <x:v>piece / pack</x:v>
      </x:c>
      <x:c r="H58" t="str"/>
      <x:c r="I58" s="14"/>
      <x:c r="J58" t="str"/>
      <x:c r="K58" s="10" t="str">
        <x:v>UNQUOTED</x:v>
      </x:c>
      <x:c r="L58" t="str">
        <x:v>per completed</x:v>
      </x:c>
      <x:c r="M58" t="str">
        <x:v>Select correct bag size; do not sum mutually exclusive alternatives</x:v>
      </x:c>
      <x:c r="N58" s="16" t="str">
        <x:f>IF(OR(F58="",I58="",K58&lt;&gt;"VERIFIED"),"",F58*I58*('02 Patient Scenarios'!G2))</x:f>
      </x:c>
      <x:c r="O58" s="16" t="str">
        <x:f>IF(OR(F58="",I58="",K58&lt;&gt;"VERIFIED"),"",F58*I58*('02 Patient Scenarios'!G3))</x:f>
      </x:c>
      <x:c r="P58" s="16" t="str">
        <x:f>IF(OR(F58="",I58="",K58&lt;&gt;"VERIFIED"),"",F58*I58*('02 Patient Scenarios'!G4))</x:f>
      </x:c>
    </x:row>
    <x:row r="59">
      <x:c r="A59" t="str">
        <x:v>07 Harvest &amp; Cryo</x:v>
      </x:c>
      <x:c r="B59" t="str">
        <x:v>Material</x:v>
      </x:c>
      <x:c r="C59" t="str">
        <x:v>Cryobag 15-85 mL</x:v>
      </x:c>
      <x:c r="D59" t="str">
        <x:v>Macopharma</x:v>
      </x:c>
      <x:c r="E59" t="str">
        <x:v>GSR 2001AU</x:v>
      </x:c>
      <x:c r="F59" s="10"/>
      <x:c r="G59" t="str">
        <x:v>piece / pack</x:v>
      </x:c>
      <x:c r="H59" t="str"/>
      <x:c r="I59" s="14"/>
      <x:c r="J59" t="str"/>
      <x:c r="K59" s="10" t="str">
        <x:v>UNQUOTED</x:v>
      </x:c>
      <x:c r="L59" t="str">
        <x:v>per completed</x:v>
      </x:c>
      <x:c r="M59" t="str">
        <x:v>Select correct bag size; do not sum mutually exclusive alternatives</x:v>
      </x:c>
      <x:c r="N59" s="16" t="str">
        <x:f>IF(OR(F59="",I59="",K59&lt;&gt;"VERIFIED"),"",F59*I59*('02 Patient Scenarios'!G2))</x:f>
      </x:c>
      <x:c r="O59" s="16" t="str">
        <x:f>IF(OR(F59="",I59="",K59&lt;&gt;"VERIFIED"),"",F59*I59*('02 Patient Scenarios'!G3))</x:f>
      </x:c>
      <x:c r="P59" s="16" t="str">
        <x:f>IF(OR(F59="",I59="",K59&lt;&gt;"VERIFIED"),"",F59*I59*('02 Patient Scenarios'!G4))</x:f>
      </x:c>
    </x:row>
    <x:row r="60">
      <x:c r="A60" t="str">
        <x:v>07 Harvest &amp; Cryo</x:v>
      </x:c>
      <x:c r="B60" t="str">
        <x:v>Material</x:v>
      </x:c>
      <x:c r="C60" t="str">
        <x:v>Cryobag 40-160 mL</x:v>
      </x:c>
      <x:c r="D60" t="str">
        <x:v>Macopharma</x:v>
      </x:c>
      <x:c r="E60" t="str">
        <x:v>GSR 7001AU</x:v>
      </x:c>
      <x:c r="F60" s="10"/>
      <x:c r="G60" t="str">
        <x:v>piece / pack</x:v>
      </x:c>
      <x:c r="H60" t="str"/>
      <x:c r="I60" s="14"/>
      <x:c r="J60" t="str"/>
      <x:c r="K60" s="10" t="str">
        <x:v>UNQUOTED</x:v>
      </x:c>
      <x:c r="L60" t="str">
        <x:v>per completed</x:v>
      </x:c>
      <x:c r="M60" t="str">
        <x:v>Select correct bag size; do not sum mutually exclusive alternatives</x:v>
      </x:c>
      <x:c r="N60" s="16" t="str">
        <x:f>IF(OR(F60="",I60="",K60&lt;&gt;"VERIFIED"),"",F60*I60*('02 Patient Scenarios'!G2))</x:f>
      </x:c>
      <x:c r="O60" s="16" t="str">
        <x:f>IF(OR(F60="",I60="",K60&lt;&gt;"VERIFIED"),"",F60*I60*('02 Patient Scenarios'!G3))</x:f>
      </x:c>
      <x:c r="P60" s="16" t="str">
        <x:f>IF(OR(F60="",I60="",K60&lt;&gt;"VERIFIED"),"",F60*I60*('02 Patient Scenarios'!G4))</x:f>
      </x:c>
    </x:row>
    <x:row r="61">
      <x:c r="A61" t="str">
        <x:v>07 Harvest &amp; Cryo</x:v>
      </x:c>
      <x:c r="B61" t="str">
        <x:v>Material</x:v>
      </x:c>
      <x:c r="C61" t="str">
        <x:v>EVA cryopreservation bag</x:v>
      </x:c>
      <x:c r="D61" t="str"/>
      <x:c r="E61" t="str"/>
      <x:c r="F61" s="10"/>
      <x:c r="G61" t="str">
        <x:v>piece / pack</x:v>
      </x:c>
      <x:c r="H61" t="str"/>
      <x:c r="I61" s="14"/>
      <x:c r="J61" t="str"/>
      <x:c r="K61" s="10" t="str">
        <x:v>UNQUOTED</x:v>
      </x:c>
      <x:c r="L61" t="str">
        <x:v>per completed</x:v>
      </x:c>
      <x:c r="M61" t="str">
        <x:v>Select correct bag size; do not sum mutually exclusive alternatives</x:v>
      </x:c>
      <x:c r="N61" s="16" t="str">
        <x:f>IF(OR(F61="",I61="",K61&lt;&gt;"VERIFIED"),"",F61*I61*('02 Patient Scenarios'!G2))</x:f>
      </x:c>
      <x:c r="O61" s="16" t="str">
        <x:f>IF(OR(F61="",I61="",K61&lt;&gt;"VERIFIED"),"",F61*I61*('02 Patient Scenarios'!G3))</x:f>
      </x:c>
      <x:c r="P61" s="16" t="str">
        <x:f>IF(OR(F61="",I61="",K61&lt;&gt;"VERIFIED"),"",F61*I61*('02 Patient Scenarios'!G4))</x:f>
      </x:c>
    </x:row>
    <x:row r="62">
      <x:c r="A62" t="str">
        <x:v>07 Harvest &amp; Cryo</x:v>
      </x:c>
      <x:c r="B62" t="str">
        <x:v>Material</x:v>
      </x:c>
      <x:c r="C62" t="str">
        <x:v>Cryobag protective cassette</x:v>
      </x:c>
      <x:c r="D62" t="str"/>
      <x:c r="E62" t="str"/>
      <x:c r="F62" s="10"/>
      <x:c r="G62" t="str">
        <x:v>piece / pack</x:v>
      </x:c>
      <x:c r="H62" t="str"/>
      <x:c r="I62" s="14"/>
      <x:c r="J62" t="str"/>
      <x:c r="K62" s="10" t="str">
        <x:v>UNQUOTED</x:v>
      </x:c>
      <x:c r="L62" t="str">
        <x:v>per completed</x:v>
      </x:c>
      <x:c r="M62" t="str">
        <x:v>Select correct bag size; do not sum mutually exclusive alternatives</x:v>
      </x:c>
      <x:c r="N62" s="16" t="str">
        <x:f>IF(OR(F62="",I62="",K62&lt;&gt;"VERIFIED"),"",F62*I62*('02 Patient Scenarios'!G2))</x:f>
      </x:c>
      <x:c r="O62" s="16" t="str">
        <x:f>IF(OR(F62="",I62="",K62&lt;&gt;"VERIFIED"),"",F62*I62*('02 Patient Scenarios'!G3))</x:f>
      </x:c>
      <x:c r="P62" s="16" t="str">
        <x:f>IF(OR(F62="",I62="",K62&lt;&gt;"VERIFIED"),"",F62*I62*('02 Patient Scenarios'!G4))</x:f>
      </x:c>
    </x:row>
    <x:row r="63">
      <x:c r="A63" t="str">
        <x:v>07 Harvest &amp; Cryo</x:v>
      </x:c>
      <x:c r="B63" t="str">
        <x:v>Material</x:v>
      </x:c>
      <x:c r="C63" t="str">
        <x:v>Styrofoam protective shipping box</x:v>
      </x:c>
      <x:c r="D63" t="str"/>
      <x:c r="E63" t="str"/>
      <x:c r="F63" s="10" t="n">
        <x:v>1</x:v>
      </x:c>
      <x:c r="G63" t="str">
        <x:v>piece / pack</x:v>
      </x:c>
      <x:c r="H63" t="str"/>
      <x:c r="I63" s="14"/>
      <x:c r="J63" t="str"/>
      <x:c r="K63" s="10" t="str">
        <x:v>UNQUOTED</x:v>
      </x:c>
      <x:c r="L63" t="str">
        <x:v>per completed</x:v>
      </x:c>
      <x:c r="M63" t="str">
        <x:v>Select correct bag size; do not sum mutually exclusive alternatives</x:v>
      </x:c>
      <x:c r="N63" s="16" t="str">
        <x:f>IF(OR(F63="",I63="",K63&lt;&gt;"VERIFIED"),"",F63*I63*('02 Patient Scenarios'!G2))</x:f>
      </x:c>
      <x:c r="O63" s="16" t="str">
        <x:f>IF(OR(F63="",I63="",K63&lt;&gt;"VERIFIED"),"",F63*I63*('02 Patient Scenarios'!G3))</x:f>
      </x:c>
      <x:c r="P63" s="16" t="str">
        <x:f>IF(OR(F63="",I63="",K63&lt;&gt;"VERIFIED"),"",F63*I63*('02 Patient Scenarios'!G4))</x:f>
      </x:c>
    </x:row>
    <x:row r="64">
      <x:c r="A64" t="str">
        <x:v>08 Shipping</x:v>
      </x:c>
      <x:c r="B64" t="str">
        <x:v>Logistics</x:v>
      </x:c>
      <x:c r="C64" t="str">
        <x:v>Dry shipper transport &lt;= -150 C</x:v>
      </x:c>
      <x:c r="D64" t="str"/>
      <x:c r="E64" t="str"/>
      <x:c r="F64" s="10" t="n">
        <x:v>1</x:v>
      </x:c>
      <x:c r="G64" t="str">
        <x:v>shipment</x:v>
      </x:c>
      <x:c r="H64" t="str"/>
      <x:c r="I64" s="14"/>
      <x:c r="J64" t="str"/>
      <x:c r="K64" s="10" t="str">
        <x:v>UNQUOTED</x:v>
      </x:c>
      <x:c r="L64" t="str">
        <x:v>per released</x:v>
      </x:c>
      <x:c r="M64" t="str">
        <x:v>Include qualification, monitoring, rental and return</x:v>
      </x:c>
      <x:c r="N64" s="16" t="str">
        <x:f>IF(OR(F64="",I64="",K64&lt;&gt;"VERIFIED"),"",F64*I64*('02 Patient Scenarios'!G2))</x:f>
      </x:c>
      <x:c r="O64" s="16" t="str">
        <x:f>IF(OR(F64="",I64="",K64&lt;&gt;"VERIFIED"),"",F64*I64*('02 Patient Scenarios'!G3))</x:f>
      </x:c>
      <x:c r="P64" s="16" t="str">
        <x:f>IF(OR(F64="",I64="",K64&lt;&gt;"VERIFIED"),"",F64*I64*('02 Patient Scenarios'!G4))</x:f>
      </x:c>
    </x:row>
    <x:row r="65">
      <x:c r="A65" t="str">
        <x:v>09 Release QC</x:v>
      </x:c>
      <x:c r="B65" t="str">
        <x:v>QC</x:v>
      </x:c>
      <x:c r="C65" t="str">
        <x:v>Appearance / integrity visual inspection</x:v>
      </x:c>
      <x:c r="D65" t="str"/>
      <x:c r="E65" t="str"/>
      <x:c r="F65" s="10" t="n">
        <x:v>1</x:v>
      </x:c>
      <x:c r="G65" t="str">
        <x:v>test</x:v>
      </x:c>
      <x:c r="H65" t="str"/>
      <x:c r="I65" s="14"/>
      <x:c r="J65" t="str"/>
      <x:c r="K65" s="10" t="str">
        <x:v>UNQUOTED</x:v>
      </x:c>
      <x:c r="L65" t="str">
        <x:v>per completed</x:v>
      </x:c>
      <x:c r="M65" t="str">
        <x:v>Formulated DP pre-freeze</x:v>
      </x:c>
      <x:c r="N65" s="16" t="str">
        <x:f>IF(OR(F65="",I65="",K65&lt;&gt;"VERIFIED"),"",F65*I65*('02 Patient Scenarios'!G2))</x:f>
      </x:c>
      <x:c r="O65" s="16" t="str">
        <x:f>IF(OR(F65="",I65="",K65&lt;&gt;"VERIFIED"),"",F65*I65*('02 Patient Scenarios'!G3))</x:f>
      </x:c>
      <x:c r="P65" s="16" t="str">
        <x:f>IF(OR(F65="",I65="",K65&lt;&gt;"VERIFIED"),"",F65*I65*('02 Patient Scenarios'!G4))</x:f>
      </x:c>
    </x:row>
    <x:row r="66">
      <x:c r="A66" t="str">
        <x:v>09 Release QC</x:v>
      </x:c>
      <x:c r="B66" t="str">
        <x:v>QC</x:v>
      </x:c>
      <x:c r="C66" t="str">
        <x:v>Viable cell count NC-200</x:v>
      </x:c>
      <x:c r="D66" t="str"/>
      <x:c r="E66" t="str"/>
      <x:c r="F66" s="10" t="n">
        <x:v>1</x:v>
      </x:c>
      <x:c r="G66" t="str">
        <x:v>test</x:v>
      </x:c>
      <x:c r="H66" t="str"/>
      <x:c r="I66" s="14"/>
      <x:c r="J66" t="str"/>
      <x:c r="K66" s="10" t="str">
        <x:v>UNQUOTED</x:v>
      </x:c>
      <x:c r="L66" t="str">
        <x:v>per completed</x:v>
      </x:c>
      <x:c r="M66" t="str">
        <x:v>Thawed DP QC sample</x:v>
      </x:c>
      <x:c r="N66" s="16" t="str">
        <x:f>IF(OR(F66="",I66="",K66&lt;&gt;"VERIFIED"),"",F66*I66*('02 Patient Scenarios'!G2))</x:f>
      </x:c>
      <x:c r="O66" s="16" t="str">
        <x:f>IF(OR(F66="",I66="",K66&lt;&gt;"VERIFIED"),"",F66*I66*('02 Patient Scenarios'!G3))</x:f>
      </x:c>
      <x:c r="P66" s="16" t="str">
        <x:f>IF(OR(F66="",I66="",K66&lt;&gt;"VERIFIED"),"",F66*I66*('02 Patient Scenarios'!G4))</x:f>
      </x:c>
    </x:row>
    <x:row r="67">
      <x:c r="A67" t="str">
        <x:v>09 Release QC</x:v>
      </x:c>
      <x:c r="B67" t="str">
        <x:v>QC</x:v>
      </x:c>
      <x:c r="C67" t="str">
        <x:v>Viability NC-200</x:v>
      </x:c>
      <x:c r="D67" t="str"/>
      <x:c r="E67" t="str"/>
      <x:c r="F67" s="10" t="n">
        <x:v>1</x:v>
      </x:c>
      <x:c r="G67" t="str">
        <x:v>test</x:v>
      </x:c>
      <x:c r="H67" t="str"/>
      <x:c r="I67" s="14"/>
      <x:c r="J67" t="str"/>
      <x:c r="K67" s="10" t="str">
        <x:v>UNQUOTED</x:v>
      </x:c>
      <x:c r="L67" t="str">
        <x:v>per completed</x:v>
      </x:c>
      <x:c r="M67" t="str">
        <x:v>Thawed DP QC sample</x:v>
      </x:c>
      <x:c r="N67" s="16" t="str">
        <x:f>IF(OR(F67="",I67="",K67&lt;&gt;"VERIFIED"),"",F67*I67*('02 Patient Scenarios'!G2))</x:f>
      </x:c>
      <x:c r="O67" s="16" t="str">
        <x:f>IF(OR(F67="",I67="",K67&lt;&gt;"VERIFIED"),"",F67*I67*('02 Patient Scenarios'!G3))</x:f>
      </x:c>
      <x:c r="P67" s="16" t="str">
        <x:f>IF(OR(F67="",I67="",K67&lt;&gt;"VERIFIED"),"",F67*I67*('02 Patient Scenarios'!G4))</x:f>
      </x:c>
    </x:row>
    <x:row r="68">
      <x:c r="A68" t="str">
        <x:v>09 Release QC</x:v>
      </x:c>
      <x:c r="B68" t="str">
        <x:v>QC</x:v>
      </x:c>
      <x:c r="C68" t="str">
        <x:v>BacT/Alert aerobic bottle</x:v>
      </x:c>
      <x:c r="D68" t="str">
        <x:v>bioMerieux</x:v>
      </x:c>
      <x:c r="E68" t="str">
        <x:v>259791 / 410851</x:v>
      </x:c>
      <x:c r="F68" s="10" t="n">
        <x:v>1</x:v>
      </x:c>
      <x:c r="G68" t="str">
        <x:v>test</x:v>
      </x:c>
      <x:c r="H68" t="str"/>
      <x:c r="I68" s="14"/>
      <x:c r="J68" t="str"/>
      <x:c r="K68" s="10" t="str">
        <x:v>UNQUOTED</x:v>
      </x:c>
      <x:c r="L68" t="str">
        <x:v>per completed</x:v>
      </x:c>
      <x:c r="M68" t="str">
        <x:v>Day 7/13 supernatant; 8 mL</x:v>
      </x:c>
      <x:c r="N68" s="16" t="str">
        <x:f>IF(OR(F68="",I68="",K68&lt;&gt;"VERIFIED"),"",F68*I68*('02 Patient Scenarios'!G2))</x:f>
      </x:c>
      <x:c r="O68" s="16" t="str">
        <x:f>IF(OR(F68="",I68="",K68&lt;&gt;"VERIFIED"),"",F68*I68*('02 Patient Scenarios'!G3))</x:f>
      </x:c>
      <x:c r="P68" s="16" t="str">
        <x:f>IF(OR(F68="",I68="",K68&lt;&gt;"VERIFIED"),"",F68*I68*('02 Patient Scenarios'!G4))</x:f>
      </x:c>
    </x:row>
    <x:row r="69">
      <x:c r="A69" t="str">
        <x:v>09 Release QC</x:v>
      </x:c>
      <x:c r="B69" t="str">
        <x:v>QC</x:v>
      </x:c>
      <x:c r="C69" t="str">
        <x:v>BacT/Alert anaerobic bottle</x:v>
      </x:c>
      <x:c r="D69" t="str">
        <x:v>bioMerieux</x:v>
      </x:c>
      <x:c r="E69" t="str">
        <x:v>259793 / 410852</x:v>
      </x:c>
      <x:c r="F69" s="10" t="n">
        <x:v>1</x:v>
      </x:c>
      <x:c r="G69" t="str">
        <x:v>test</x:v>
      </x:c>
      <x:c r="H69" t="str"/>
      <x:c r="I69" s="14"/>
      <x:c r="J69" t="str"/>
      <x:c r="K69" s="10" t="str">
        <x:v>UNQUOTED</x:v>
      </x:c>
      <x:c r="L69" t="str">
        <x:v>per completed</x:v>
      </x:c>
      <x:c r="M69" t="str">
        <x:v>Day 7/13 supernatant; 8 mL</x:v>
      </x:c>
      <x:c r="N69" s="16" t="str">
        <x:f>IF(OR(F69="",I69="",K69&lt;&gt;"VERIFIED"),"",F69*I69*('02 Patient Scenarios'!G2))</x:f>
      </x:c>
      <x:c r="O69" s="16" t="str">
        <x:f>IF(OR(F69="",I69="",K69&lt;&gt;"VERIFIED"),"",F69*I69*('02 Patient Scenarios'!G3))</x:f>
      </x:c>
      <x:c r="P69" s="16" t="str">
        <x:f>IF(OR(F69="",I69="",K69&lt;&gt;"VERIFIED"),"",F69*I69*('02 Patient Scenarios'!G4))</x:f>
      </x:c>
    </x:row>
    <x:row r="70">
      <x:c r="A70" t="str">
        <x:v>09 Release QC</x:v>
      </x:c>
      <x:c r="B70" t="str">
        <x:v>QC</x:v>
      </x:c>
      <x:c r="C70" t="str">
        <x:v>Blood agar culture plate</x:v>
      </x:c>
      <x:c r="D70" t="str">
        <x:v>Substrat</x:v>
      </x:c>
      <x:c r="E70" t="str">
        <x:v>MIK2742-9</x:v>
      </x:c>
      <x:c r="F70" s="10" t="n">
        <x:v>1</x:v>
      </x:c>
      <x:c r="G70" t="str">
        <x:v>test</x:v>
      </x:c>
      <x:c r="H70" t="str"/>
      <x:c r="I70" s="14"/>
      <x:c r="J70" t="str"/>
      <x:c r="K70" s="10" t="str">
        <x:v>UNQUOTED</x:v>
      </x:c>
      <x:c r="L70" t="str">
        <x:v>per completed</x:v>
      </x:c>
      <x:c r="M70" t="str">
        <x:v>Day 7/13 supernatant 100 uL</x:v>
      </x:c>
      <x:c r="N70" s="16" t="str">
        <x:f>IF(OR(F70="",I70="",K70&lt;&gt;"VERIFIED"),"",F70*I70*('02 Patient Scenarios'!G2))</x:f>
      </x:c>
      <x:c r="O70" s="16" t="str">
        <x:f>IF(OR(F70="",I70="",K70&lt;&gt;"VERIFIED"),"",F70*I70*('02 Patient Scenarios'!G3))</x:f>
      </x:c>
      <x:c r="P70" s="16" t="str">
        <x:f>IF(OR(F70="",I70="",K70&lt;&gt;"VERIFIED"),"",F70*I70*('02 Patient Scenarios'!G4))</x:f>
      </x:c>
    </x:row>
    <x:row r="71">
      <x:c r="A71" t="str">
        <x:v>09 Release QC</x:v>
      </x:c>
      <x:c r="B71" t="str">
        <x:v>QC</x:v>
      </x:c>
      <x:c r="C71" t="str">
        <x:v>Mycoplasma PCR</x:v>
      </x:c>
      <x:c r="D71" t="str">
        <x:v>Labor LS SE &amp; Co. KG</x:v>
      </x:c>
      <x:c r="E71" t="str"/>
      <x:c r="F71" s="10" t="n">
        <x:v>1</x:v>
      </x:c>
      <x:c r="G71" t="str">
        <x:v>test</x:v>
      </x:c>
      <x:c r="H71" t="str"/>
      <x:c r="I71" s="14"/>
      <x:c r="J71" t="str"/>
      <x:c r="K71" s="10" t="str">
        <x:v>UNQUOTED</x:v>
      </x:c>
      <x:c r="L71" t="str">
        <x:v>per completed</x:v>
      </x:c>
      <x:c r="M71" t="str">
        <x:v>Ph Eur 2.6.7; 1.1e6 cells in 1.1 mL</x:v>
      </x:c>
      <x:c r="N71" s="16" t="str">
        <x:f>IF(OR(F71="",I71="",K71&lt;&gt;"VERIFIED"),"",F71*I71*('02 Patient Scenarios'!G2))</x:f>
      </x:c>
      <x:c r="O71" s="16" t="str">
        <x:f>IF(OR(F71="",I71="",K71&lt;&gt;"VERIFIED"),"",F71*I71*('02 Patient Scenarios'!G3))</x:f>
      </x:c>
      <x:c r="P71" s="16" t="str">
        <x:f>IF(OR(F71="",I71="",K71&lt;&gt;"VERIFIED"),"",F71*I71*('02 Patient Scenarios'!G4))</x:f>
      </x:c>
    </x:row>
    <x:row r="72">
      <x:c r="A72" t="str">
        <x:v>09 Release QC</x:v>
      </x:c>
      <x:c r="B72" t="str">
        <x:v>QC</x:v>
      </x:c>
      <x:c r="C72" t="str">
        <x:v>Endotoxin</x:v>
      </x:c>
      <x:c r="D72" t="str">
        <x:v>Endosafe nexgen PT</x:v>
      </x:c>
      <x:c r="E72" t="str"/>
      <x:c r="F72" s="10" t="n">
        <x:v>1</x:v>
      </x:c>
      <x:c r="G72" t="str">
        <x:v>test</x:v>
      </x:c>
      <x:c r="H72" t="str"/>
      <x:c r="I72" s="14"/>
      <x:c r="J72" t="str"/>
      <x:c r="K72" s="10" t="str">
        <x:v>UNQUOTED</x:v>
      </x:c>
      <x:c r="L72" t="str">
        <x:v>per completed</x:v>
      </x:c>
      <x:c r="M72" t="str">
        <x:v>Ph Eur 2.6.14; DS Day 8/14</x:v>
      </x:c>
      <x:c r="N72" s="16" t="str">
        <x:f>IF(OR(F72="",I72="",K72&lt;&gt;"VERIFIED"),"",F72*I72*('02 Patient Scenarios'!G2))</x:f>
      </x:c>
      <x:c r="O72" s="16" t="str">
        <x:f>IF(OR(F72="",I72="",K72&lt;&gt;"VERIFIED"),"",F72*I72*('02 Patient Scenarios'!G3))</x:f>
      </x:c>
      <x:c r="P72" s="16" t="str">
        <x:f>IF(OR(F72="",I72="",K72&lt;&gt;"VERIFIED"),"",F72*I72*('02 Patient Scenarios'!G4))</x:f>
      </x:c>
    </x:row>
    <x:row r="73">
      <x:c r="A73" t="str">
        <x:v>09 Release QC</x:v>
      </x:c>
      <x:c r="B73" t="str">
        <x:v>QC</x:v>
      </x:c>
      <x:c r="C73" t="str">
        <x:v>CAR20 transgene expression</x:v>
      </x:c>
      <x:c r="D73" t="str">
        <x:v>Flow cytometry</x:v>
      </x:c>
      <x:c r="E73" t="str"/>
      <x:c r="F73" s="10" t="n">
        <x:v>1</x:v>
      </x:c>
      <x:c r="G73" t="str">
        <x:v>test</x:v>
      </x:c>
      <x:c r="H73" t="str"/>
      <x:c r="I73" s="14"/>
      <x:c r="J73" t="str"/>
      <x:c r="K73" s="10" t="str">
        <x:v>UNQUOTED</x:v>
      </x:c>
      <x:c r="L73" t="str">
        <x:v>per completed</x:v>
      </x:c>
      <x:c r="M73" t="str">
        <x:v>Day 7/13 and thawed DP</x:v>
      </x:c>
      <x:c r="N73" s="16" t="str">
        <x:f>IF(OR(F73="",I73="",K73&lt;&gt;"VERIFIED"),"",F73*I73*('02 Patient Scenarios'!G2))</x:f>
      </x:c>
      <x:c r="O73" s="16" t="str">
        <x:f>IF(OR(F73="",I73="",K73&lt;&gt;"VERIFIED"),"",F73*I73*('02 Patient Scenarios'!G3))</x:f>
      </x:c>
      <x:c r="P73" s="16" t="str">
        <x:f>IF(OR(F73="",I73="",K73&lt;&gt;"VERIFIED"),"",F73*I73*('02 Patient Scenarios'!G4))</x:f>
      </x:c>
    </x:row>
    <x:row r="74">
      <x:c r="A74" t="str">
        <x:v>09 Release QC</x:v>
      </x:c>
      <x:c r="B74" t="str">
        <x:v>QC</x:v>
      </x:c>
      <x:c r="C74" t="str">
        <x:v>Identity CD3</x:v>
      </x:c>
      <x:c r="D74" t="str">
        <x:v>Flow cytometry</x:v>
      </x:c>
      <x:c r="E74" t="str"/>
      <x:c r="F74" s="10" t="n">
        <x:v>1</x:v>
      </x:c>
      <x:c r="G74" t="str">
        <x:v>test</x:v>
      </x:c>
      <x:c r="H74" t="str"/>
      <x:c r="I74" s="14"/>
      <x:c r="J74" t="str"/>
      <x:c r="K74" s="10" t="str">
        <x:v>UNQUOTED</x:v>
      </x:c>
      <x:c r="L74" t="str">
        <x:v>per completed</x:v>
      </x:c>
      <x:c r="M74" t="str">
        <x:v>Day 7/13 and thawed DP</x:v>
      </x:c>
      <x:c r="N74" s="16" t="str">
        <x:f>IF(OR(F74="",I74="",K74&lt;&gt;"VERIFIED"),"",F74*I74*('02 Patient Scenarios'!G2))</x:f>
      </x:c>
      <x:c r="O74" s="16" t="str">
        <x:f>IF(OR(F74="",I74="",K74&lt;&gt;"VERIFIED"),"",F74*I74*('02 Patient Scenarios'!G3))</x:f>
      </x:c>
      <x:c r="P74" s="16" t="str">
        <x:f>IF(OR(F74="",I74="",K74&lt;&gt;"VERIFIED"),"",F74*I74*('02 Patient Scenarios'!G4))</x:f>
      </x:c>
    </x:row>
    <x:row r="75">
      <x:c r="A75" t="str">
        <x:v>09 Release QC</x:v>
      </x:c>
      <x:c r="B75" t="str">
        <x:v>QC</x:v>
      </x:c>
      <x:c r="C75" t="str">
        <x:v>Identity CD56 NK/NKT</x:v>
      </x:c>
      <x:c r="D75" t="str">
        <x:v>Flow cytometry</x:v>
      </x:c>
      <x:c r="E75" t="str"/>
      <x:c r="F75" s="10" t="n">
        <x:v>1</x:v>
      </x:c>
      <x:c r="G75" t="str">
        <x:v>test</x:v>
      </x:c>
      <x:c r="H75" t="str"/>
      <x:c r="I75" s="14"/>
      <x:c r="J75" t="str"/>
      <x:c r="K75" s="10" t="str">
        <x:v>UNQUOTED</x:v>
      </x:c>
      <x:c r="L75" t="str">
        <x:v>per completed</x:v>
      </x:c>
      <x:c r="M75" t="str">
        <x:v>Day 7/13 and thawed DP</x:v>
      </x:c>
      <x:c r="N75" s="16" t="str">
        <x:f>IF(OR(F75="",I75="",K75&lt;&gt;"VERIFIED"),"",F75*I75*('02 Patient Scenarios'!G2))</x:f>
      </x:c>
      <x:c r="O75" s="16" t="str">
        <x:f>IF(OR(F75="",I75="",K75&lt;&gt;"VERIFIED"),"",F75*I75*('02 Patient Scenarios'!G3))</x:f>
      </x:c>
      <x:c r="P75" s="16" t="str">
        <x:f>IF(OR(F75="",I75="",K75&lt;&gt;"VERIFIED"),"",F75*I75*('02 Patient Scenarios'!G4))</x:f>
      </x:c>
    </x:row>
    <x:row r="76">
      <x:c r="A76" t="str">
        <x:v>09 Release QC</x:v>
      </x:c>
      <x:c r="B76" t="str">
        <x:v>QC</x:v>
      </x:c>
      <x:c r="C76" t="str">
        <x:v>Vector copy number ddPCR</x:v>
      </x:c>
      <x:c r="D76" t="str"/>
      <x:c r="E76" t="str"/>
      <x:c r="F76" s="10" t="n">
        <x:v>1</x:v>
      </x:c>
      <x:c r="G76" t="str">
        <x:v>test</x:v>
      </x:c>
      <x:c r="H76" t="str"/>
      <x:c r="I76" s="14"/>
      <x:c r="J76" t="str"/>
      <x:c r="K76" s="10" t="str">
        <x:v>UNQUOTED</x:v>
      </x:c>
      <x:c r="L76" t="str">
        <x:v>per completed</x:v>
      </x:c>
      <x:c r="M76" t="str">
        <x:v>Day 8/14 DS pellet; baseline negative control</x:v>
      </x:c>
      <x:c r="N76" s="16" t="str">
        <x:f>IF(OR(F76="",I76="",K76&lt;&gt;"VERIFIED"),"",F76*I76*('02 Patient Scenarios'!G2))</x:f>
      </x:c>
      <x:c r="O76" s="16" t="str">
        <x:f>IF(OR(F76="",I76="",K76&lt;&gt;"VERIFIED"),"",F76*I76*('02 Patient Scenarios'!G3))</x:f>
      </x:c>
      <x:c r="P76" s="16" t="str">
        <x:f>IF(OR(F76="",I76="",K76&lt;&gt;"VERIFIED"),"",F76*I76*('02 Patient Scenarios'!G4))</x:f>
      </x:c>
    </x:row>
    <x:row r="77">
      <x:c r="A77" t="str">
        <x:v>10 Post-Release QC</x:v>
      </x:c>
      <x:c r="B77" t="str">
        <x:v>QC outsourced</x:v>
      </x:c>
      <x:c r="C77" t="str">
        <x:v>Sterility - culture supernatant</x:v>
      </x:c>
      <x:c r="D77" t="str">
        <x:v>ALS Mikrolab</x:v>
      </x:c>
      <x:c r="E77" t="str"/>
      <x:c r="F77" s="10" t="n">
        <x:v>1</x:v>
      </x:c>
      <x:c r="G77" t="str">
        <x:v>test</x:v>
      </x:c>
      <x:c r="H77" t="str"/>
      <x:c r="I77" s="14"/>
      <x:c r="J77" t="str"/>
      <x:c r="K77" s="10" t="str">
        <x:v>UNQUOTED</x:v>
      </x:c>
      <x:c r="L77" t="str">
        <x:v>per released</x:v>
      </x:c>
      <x:c r="M77" t="str">
        <x:v>Ph Eur 2.6.1 direct inoculation; 2 x 30 mL</x:v>
      </x:c>
      <x:c r="N77" s="16" t="str">
        <x:f>IF(OR(F77="",I77="",K77&lt;&gt;"VERIFIED"),"",F77*I77*('02 Patient Scenarios'!G2))</x:f>
      </x:c>
      <x:c r="O77" s="16" t="str">
        <x:f>IF(OR(F77="",I77="",K77&lt;&gt;"VERIFIED"),"",F77*I77*('02 Patient Scenarios'!G3))</x:f>
      </x:c>
      <x:c r="P77" s="16" t="str">
        <x:f>IF(OR(F77="",I77="",K77&lt;&gt;"VERIFIED"),"",F77*I77*('02 Patient Scenarios'!G4))</x:f>
      </x:c>
    </x:row>
    <x:row r="78">
      <x:c r="A78" t="str">
        <x:v>10 Post-Release QC</x:v>
      </x:c>
      <x:c r="B78" t="str">
        <x:v>QC outsourced</x:v>
      </x:c>
      <x:c r="C78" t="str">
        <x:v>Sterility - DP</x:v>
      </x:c>
      <x:c r="D78" t="str">
        <x:v>ALS Mikrolab</x:v>
      </x:c>
      <x:c r="E78" t="str"/>
      <x:c r="F78" s="10" t="n">
        <x:v>1</x:v>
      </x:c>
      <x:c r="G78" t="str">
        <x:v>test</x:v>
      </x:c>
      <x:c r="H78" t="str"/>
      <x:c r="I78" s="14"/>
      <x:c r="J78" t="str"/>
      <x:c r="K78" s="10" t="str">
        <x:v>UNQUOTED</x:v>
      </x:c>
      <x:c r="L78" t="str">
        <x:v>per released</x:v>
      </x:c>
      <x:c r="M78" t="str">
        <x:v>Ph Eur 2.6.1 direct inoculation; 2 x 1 mL</x:v>
      </x:c>
      <x:c r="N78" s="16" t="str">
        <x:f>IF(OR(F78="",I78="",K78&lt;&gt;"VERIFIED"),"",F78*I78*('02 Patient Scenarios'!G2))</x:f>
      </x:c>
      <x:c r="O78" s="16" t="str">
        <x:f>IF(OR(F78="",I78="",K78&lt;&gt;"VERIFIED"),"",F78*I78*('02 Patient Scenarios'!G3))</x:f>
      </x:c>
      <x:c r="P78" s="16" t="str">
        <x:f>IF(OR(F78="",I78="",K78&lt;&gt;"VERIFIED"),"",F78*I78*('02 Patient Scenarios'!G4))</x:f>
      </x:c>
    </x:row>
    <x:row r="79">
      <x:c r="A79" t="str">
        <x:v>10 Post-Release QC</x:v>
      </x:c>
      <x:c r="B79" t="str">
        <x:v>QC outsourced</x:v>
      </x:c>
      <x:c r="C79" t="str">
        <x:v>Potency - target-cell cytotoxicity</x:v>
      </x:c>
      <x:c r="D79" t="str"/>
      <x:c r="E79" t="str"/>
      <x:c r="F79" s="10" t="n">
        <x:v>1</x:v>
      </x:c>
      <x:c r="G79" t="str">
        <x:v>test</x:v>
      </x:c>
      <x:c r="H79" t="str"/>
      <x:c r="I79" s="14"/>
      <x:c r="J79" t="str"/>
      <x:c r="K79" s="10" t="str">
        <x:v>UNQUOTED</x:v>
      </x:c>
      <x:c r="L79" t="str">
        <x:v>per released</x:v>
      </x:c>
      <x:c r="M79" t="str">
        <x:v>Cryopreserved/thawed DP; dose-dependent killing</x:v>
      </x:c>
      <x:c r="N79" s="16" t="str">
        <x:f>IF(OR(F79="",I79="",K79&lt;&gt;"VERIFIED"),"",F79*I79*('02 Patient Scenarios'!G2))</x:f>
      </x:c>
      <x:c r="O79" s="16" t="str">
        <x:f>IF(OR(F79="",I79="",K79&lt;&gt;"VERIFIED"),"",F79*I79*('02 Patient Scenarios'!G3))</x:f>
      </x:c>
      <x:c r="P79" s="16" t="str">
        <x:f>IF(OR(F79="",I79="",K79&lt;&gt;"VERIFIED"),"",F79*I79*('02 Patient Scenarios'!G4))</x:f>
      </x:c>
    </x:row>
    <x:row r="80">
      <x:c r="A80" t="str">
        <x:v>11 Stability</x:v>
      </x:c>
      <x:c r="B80" t="str">
        <x:v>QC stability</x:v>
      </x:c>
      <x:c r="C80" t="str">
        <x:v>Appearance and integrity stability</x:v>
      </x:c>
      <x:c r="D80" t="str"/>
      <x:c r="E80" t="str"/>
      <x:c r="F80" s="10"/>
      <x:c r="G80" t="str">
        <x:v>timepoint</x:v>
      </x:c>
      <x:c r="H80" t="str"/>
      <x:c r="I80" s="14"/>
      <x:c r="J80" t="str"/>
      <x:c r="K80" s="10" t="str">
        <x:v>UNQUOTED</x:v>
      </x:c>
      <x:c r="L80" t="str">
        <x:v>per released</x:v>
      </x:c>
      <x:c r="M80" t="str">
        <x:v>Stability schedule and test frequency TBD</x:v>
      </x:c>
      <x:c r="N80" s="16" t="str">
        <x:f>IF(OR(F80="",I80="",K80&lt;&gt;"VERIFIED"),"",F80*I80*('02 Patient Scenarios'!G2))</x:f>
      </x:c>
      <x:c r="O80" s="16" t="str">
        <x:f>IF(OR(F80="",I80="",K80&lt;&gt;"VERIFIED"),"",F80*I80*('02 Patient Scenarios'!G3))</x:f>
      </x:c>
      <x:c r="P80" s="16" t="str">
        <x:f>IF(OR(F80="",I80="",K80&lt;&gt;"VERIFIED"),"",F80*I80*('02 Patient Scenarios'!G4))</x:f>
      </x:c>
    </x:row>
    <x:row r="81">
      <x:c r="A81" t="str">
        <x:v>11 Stability</x:v>
      </x:c>
      <x:c r="B81" t="str">
        <x:v>QC stability</x:v>
      </x:c>
      <x:c r="C81" t="str">
        <x:v>Post-thaw viable cell count / viability</x:v>
      </x:c>
      <x:c r="D81" t="str"/>
      <x:c r="E81" t="str"/>
      <x:c r="F81" s="10"/>
      <x:c r="G81" t="str">
        <x:v>timepoint</x:v>
      </x:c>
      <x:c r="H81" t="str"/>
      <x:c r="I81" s="14"/>
      <x:c r="J81" t="str"/>
      <x:c r="K81" s="10" t="str">
        <x:v>UNQUOTED</x:v>
      </x:c>
      <x:c r="L81" t="str">
        <x:v>per released</x:v>
      </x:c>
      <x:c r="M81" t="str">
        <x:v>Stability schedule and test frequency TBD</x:v>
      </x:c>
      <x:c r="N81" s="16" t="str">
        <x:f>IF(OR(F81="",I81="",K81&lt;&gt;"VERIFIED"),"",F81*I81*('02 Patient Scenarios'!G2))</x:f>
      </x:c>
      <x:c r="O81" s="16" t="str">
        <x:f>IF(OR(F81="",I81="",K81&lt;&gt;"VERIFIED"),"",F81*I81*('02 Patient Scenarios'!G3))</x:f>
      </x:c>
      <x:c r="P81" s="16" t="str">
        <x:f>IF(OR(F81="",I81="",K81&lt;&gt;"VERIFIED"),"",F81*I81*('02 Patient Scenarios'!G4))</x:f>
      </x:c>
    </x:row>
    <x:row r="82">
      <x:c r="A82" t="str">
        <x:v>11 Stability</x:v>
      </x:c>
      <x:c r="B82" t="str">
        <x:v>QC stability</x:v>
      </x:c>
      <x:c r="C82" t="str">
        <x:v>CAR expression and identity stability</x:v>
      </x:c>
      <x:c r="D82" t="str"/>
      <x:c r="E82" t="str"/>
      <x:c r="F82" s="10"/>
      <x:c r="G82" t="str">
        <x:v>timepoint</x:v>
      </x:c>
      <x:c r="H82" t="str"/>
      <x:c r="I82" s="14"/>
      <x:c r="J82" t="str"/>
      <x:c r="K82" s="10" t="str">
        <x:v>UNQUOTED</x:v>
      </x:c>
      <x:c r="L82" t="str">
        <x:v>per released</x:v>
      </x:c>
      <x:c r="M82" t="str">
        <x:v>Stability schedule and test frequency TBD</x:v>
      </x:c>
      <x:c r="N82" s="16" t="str">
        <x:f>IF(OR(F82="",I82="",K82&lt;&gt;"VERIFIED"),"",F82*I82*('02 Patient Scenarios'!G2))</x:f>
      </x:c>
      <x:c r="O82" s="16" t="str">
        <x:f>IF(OR(F82="",I82="",K82&lt;&gt;"VERIFIED"),"",F82*I82*('02 Patient Scenarios'!G3))</x:f>
      </x:c>
      <x:c r="P82" s="16" t="str">
        <x:f>IF(OR(F82="",I82="",K82&lt;&gt;"VERIFIED"),"",F82*I82*('02 Patient Scenarios'!G4))</x:f>
      </x:c>
    </x:row>
    <x:row r="83">
      <x:c r="A83" t="str">
        <x:v>11 Stability</x:v>
      </x:c>
      <x:c r="B83" t="str">
        <x:v>QC stability</x:v>
      </x:c>
      <x:c r="C83" t="str">
        <x:v>Potency stability</x:v>
      </x:c>
      <x:c r="D83" t="str"/>
      <x:c r="E83" t="str"/>
      <x:c r="F83" s="10"/>
      <x:c r="G83" t="str">
        <x:v>timepoint</x:v>
      </x:c>
      <x:c r="H83" t="str"/>
      <x:c r="I83" s="14"/>
      <x:c r="J83" t="str"/>
      <x:c r="K83" s="10" t="str">
        <x:v>UNQUOTED</x:v>
      </x:c>
      <x:c r="L83" t="str">
        <x:v>per released</x:v>
      </x:c>
      <x:c r="M83" t="str">
        <x:v>Stability schedule and test frequency TBD</x:v>
      </x:c>
      <x:c r="N83" s="16" t="str">
        <x:f>IF(OR(F83="",I83="",K83&lt;&gt;"VERIFIED"),"",F83*I83*('02 Patient Scenarios'!G2))</x:f>
      </x:c>
      <x:c r="O83" s="16" t="str">
        <x:f>IF(OR(F83="",I83="",K83&lt;&gt;"VERIFIED"),"",F83*I83*('02 Patient Scenarios'!G3))</x:f>
      </x:c>
      <x:c r="P83" s="16" t="str">
        <x:f>IF(OR(F83="",I83="",K83&lt;&gt;"VERIFIED"),"",F83*I83*('02 Patient Scenarios'!G4))</x:f>
      </x:c>
    </x:row>
    <x:row r="84">
      <x:c r="A84" t="str">
        <x:v>11 Stability</x:v>
      </x:c>
      <x:c r="B84" t="str">
        <x:v>QC stability</x:v>
      </x:c>
      <x:c r="C84" t="str">
        <x:v>VCN stability as required</x:v>
      </x:c>
      <x:c r="D84" t="str"/>
      <x:c r="E84" t="str"/>
      <x:c r="F84" s="10"/>
      <x:c r="G84" t="str">
        <x:v>timepoint</x:v>
      </x:c>
      <x:c r="H84" t="str"/>
      <x:c r="I84" s="14"/>
      <x:c r="J84" t="str"/>
      <x:c r="K84" s="10" t="str">
        <x:v>UNQUOTED</x:v>
      </x:c>
      <x:c r="L84" t="str">
        <x:v>per released</x:v>
      </x:c>
      <x:c r="M84" t="str">
        <x:v>Stability schedule and test frequency TBD</x:v>
      </x:c>
      <x:c r="N84" s="16" t="str">
        <x:f>IF(OR(F84="",I84="",K84&lt;&gt;"VERIFIED"),"",F84*I84*('02 Patient Scenarios'!G2))</x:f>
      </x:c>
      <x:c r="O84" s="16" t="str">
        <x:f>IF(OR(F84="",I84="",K84&lt;&gt;"VERIFIED"),"",F84*I84*('02 Patient Scenarios'!G3))</x:f>
      </x:c>
      <x:c r="P84" s="16" t="str">
        <x:f>IF(OR(F84="",I84="",K84&lt;&gt;"VERIFIED"),"",F84*I84*('02 Patient Scenarios'!G4))</x:f>
      </x:c>
    </x:row>
    <x:row r="85">
      <x:c r="A85" t="str">
        <x:v>12 Infusion</x:v>
      </x:c>
      <x:c r="B85" t="str">
        <x:v>Clinical</x:v>
      </x:c>
      <x:c r="C85" t="str">
        <x:v>Lymphodepletion chemotherapy</x:v>
      </x:c>
      <x:c r="D85" t="str"/>
      <x:c r="E85" t="str"/>
      <x:c r="F85" s="10" t="n">
        <x:v>1</x:v>
      </x:c>
      <x:c r="G85" t="str">
        <x:v>patient</x:v>
      </x:c>
      <x:c r="H85" t="str"/>
      <x:c r="I85" s="14"/>
      <x:c r="J85" t="str"/>
      <x:c r="K85" s="10" t="str">
        <x:v>UNQUOTED</x:v>
      </x:c>
      <x:c r="L85" t="str">
        <x:v>per lymphodepleted</x:v>
      </x:c>
      <x:c r="M85" t="str">
        <x:v>Distinct from infused count</x:v>
      </x:c>
      <x:c r="N85" s="16" t="str">
        <x:f>IF(OR(F85="",I85="",K85&lt;&gt;"VERIFIED"),"",F85*I85*('02 Patient Scenarios'!G2))</x:f>
      </x:c>
      <x:c r="O85" s="16" t="str">
        <x:f>IF(OR(F85="",I85="",K85&lt;&gt;"VERIFIED"),"",F85*I85*('02 Patient Scenarios'!G3))</x:f>
      </x:c>
      <x:c r="P85" s="16" t="str">
        <x:f>IF(OR(F85="",I85="",K85&lt;&gt;"VERIFIED"),"",F85*I85*('02 Patient Scenarios'!G4))</x:f>
      </x:c>
    </x:row>
    <x:row r="86">
      <x:c r="A86" t="str">
        <x:v>12 Infusion</x:v>
      </x:c>
      <x:c r="B86" t="str">
        <x:v>Clinical</x:v>
      </x:c>
      <x:c r="C86" t="str">
        <x:v>CAR-T infusion and acute monitoring</x:v>
      </x:c>
      <x:c r="D86" t="str"/>
      <x:c r="E86" t="str"/>
      <x:c r="F86" s="10" t="n">
        <x:v>1</x:v>
      </x:c>
      <x:c r="G86" t="str">
        <x:v>patient</x:v>
      </x:c>
      <x:c r="H86" t="str"/>
      <x:c r="I86" s="14"/>
      <x:c r="J86" t="str"/>
      <x:c r="K86" s="10" t="str">
        <x:v>UNQUOTED</x:v>
      </x:c>
      <x:c r="L86" t="str">
        <x:v>per infused</x:v>
      </x:c>
      <x:c r="M86" t="str"/>
      <x:c r="N86" s="16" t="str">
        <x:f>IF(OR(F86="",I86="",K86&lt;&gt;"VERIFIED"),"",F86*I86*('02 Patient Scenarios'!G2))</x:f>
      </x:c>
      <x:c r="O86" s="16" t="str">
        <x:f>IF(OR(F86="",I86="",K86&lt;&gt;"VERIFIED"),"",F86*I86*('02 Patient Scenarios'!G3))</x:f>
      </x:c>
      <x:c r="P86" s="16" t="str">
        <x:f>IF(OR(F86="",I86="",K86&lt;&gt;"VERIFIED"),"",F86*I86*('02 Patient Scenarios'!G4))</x:f>
      </x:c>
    </x:row>
    <x:row r="87">
      <x:c r="A87" t="str">
        <x:v>13 Follow-up</x:v>
      </x:c>
      <x:c r="B87" t="str">
        <x:v>Clinical</x:v>
      </x:c>
      <x:c r="C87" t="str">
        <x:v>Clinical follow-up / adverse event monitoring</x:v>
      </x:c>
      <x:c r="D87" t="str"/>
      <x:c r="E87" t="str"/>
      <x:c r="F87" s="10" t="n">
        <x:v>1</x:v>
      </x:c>
      <x:c r="G87" t="str">
        <x:v>patient</x:v>
      </x:c>
      <x:c r="H87" t="str"/>
      <x:c r="I87" s="14"/>
      <x:c r="J87" t="str"/>
      <x:c r="K87" s="10" t="str">
        <x:v>UNQUOTED</x:v>
      </x:c>
      <x:c r="L87" t="str">
        <x:v>per infused</x:v>
      </x:c>
      <x:c r="M87" t="str">
        <x:v>CRS/ICANS/ICU should be separately quoted</x:v>
      </x:c>
      <x:c r="N87" s="16" t="str">
        <x:f>IF(OR(F87="",I87="",K87&lt;&gt;"VERIFIED"),"",F87*I87*('02 Patient Scenarios'!G2))</x:f>
      </x:c>
      <x:c r="O87" s="16" t="str">
        <x:f>IF(OR(F87="",I87="",K87&lt;&gt;"VERIFIED"),"",F87*I87*('02 Patient Scenarios'!G3))</x:f>
      </x:c>
      <x:c r="P87" s="16" t="str">
        <x:f>IF(OR(F87="",I87="",K87&lt;&gt;"VERIFIED"),"",F87*I87*('02 Patient Scenarios'!G4))</x:f>
      </x:c>
    </x:row>
    <x:row r="88">
      <x:c r="A88" t="str">
        <x:v>00 Vector CMC</x:v>
      </x:c>
      <x:c r="B88" t="str">
        <x:v>Project / vector</x:v>
      </x:c>
      <x:c r="C88" t="str">
        <x:v>GMP vector construct development / licensing</x:v>
      </x:c>
      <x:c r="D88" t="str"/>
      <x:c r="E88" t="str"/>
      <x:c r="F88" s="10" t="n">
        <x:v>1</x:v>
      </x:c>
      <x:c r="G88" t="str">
        <x:v>program / lot</x:v>
      </x:c>
      <x:c r="H88" t="str"/>
      <x:c r="I88" s="14"/>
      <x:c r="J88" t="str"/>
      <x:c r="K88" s="10" t="str">
        <x:v>UNQUOTED</x:v>
      </x:c>
      <x:c r="L88" t="str">
        <x:v>per program</x:v>
      </x:c>
      <x:c r="M88" t="str">
        <x:v>One common construct; one planned vector lot; confirm lot sufficiency</x:v>
      </x:c>
      <x:c r="N88" s="16" t="str">
        <x:f>IF(OR(F88="",I88="",K88&lt;&gt;"VERIFIED"),"",F88*I88*(1))</x:f>
      </x:c>
      <x:c r="O88" s="16" t="str">
        <x:f>IF(OR(F88="",I88="",K88&lt;&gt;"VERIFIED"),"",F88*I88*(1))</x:f>
      </x:c>
      <x:c r="P88" s="16" t="str">
        <x:f>IF(OR(F88="",I88="",K88&lt;&gt;"VERIFIED"),"",F88*I88*(1))</x:f>
      </x:c>
    </x:row>
    <x:row r="89">
      <x:c r="A89" t="str">
        <x:v>00 Vector CMC</x:v>
      </x:c>
      <x:c r="B89" t="str">
        <x:v>Project / vector</x:v>
      </x:c>
      <x:c r="C89" t="str">
        <x:v>GMP vector CDMO technology transfer</x:v>
      </x:c>
      <x:c r="D89" t="str"/>
      <x:c r="E89" t="str"/>
      <x:c r="F89" s="10" t="n">
        <x:v>1</x:v>
      </x:c>
      <x:c r="G89" t="str">
        <x:v>program / lot</x:v>
      </x:c>
      <x:c r="H89" t="str"/>
      <x:c r="I89" s="14"/>
      <x:c r="J89" t="str"/>
      <x:c r="K89" s="10" t="str">
        <x:v>UNQUOTED</x:v>
      </x:c>
      <x:c r="L89" t="str">
        <x:v>per program</x:v>
      </x:c>
      <x:c r="M89" t="str">
        <x:v>One common construct; one planned vector lot; confirm lot sufficiency</x:v>
      </x:c>
      <x:c r="N89" s="16" t="str">
        <x:f>IF(OR(F89="",I89="",K89&lt;&gt;"VERIFIED"),"",F89*I89*(1))</x:f>
      </x:c>
      <x:c r="O89" s="16" t="str">
        <x:f>IF(OR(F89="",I89="",K89&lt;&gt;"VERIFIED"),"",F89*I89*(1))</x:f>
      </x:c>
      <x:c r="P89" s="16" t="str">
        <x:f>IF(OR(F89="",I89="",K89&lt;&gt;"VERIFIED"),"",F89*I89*(1))</x:f>
      </x:c>
    </x:row>
    <x:row r="90">
      <x:c r="A90" t="str">
        <x:v>00 Vector CMC</x:v>
      </x:c>
      <x:c r="B90" t="str">
        <x:v>Project / vector</x:v>
      </x:c>
      <x:c r="C90" t="str">
        <x:v>GMP vector engineering batch</x:v>
      </x:c>
      <x:c r="D90" t="str"/>
      <x:c r="E90" t="str"/>
      <x:c r="F90" s="10" t="n">
        <x:v>1</x:v>
      </x:c>
      <x:c r="G90" t="str">
        <x:v>program / lot</x:v>
      </x:c>
      <x:c r="H90" t="str"/>
      <x:c r="I90" s="14"/>
      <x:c r="J90" t="str"/>
      <x:c r="K90" s="10" t="str">
        <x:v>UNQUOTED</x:v>
      </x:c>
      <x:c r="L90" t="str">
        <x:v>per program</x:v>
      </x:c>
      <x:c r="M90" t="str">
        <x:v>One common construct; one planned vector lot; confirm lot sufficiency</x:v>
      </x:c>
      <x:c r="N90" s="16" t="str">
        <x:f>IF(OR(F90="",I90="",K90&lt;&gt;"VERIFIED"),"",F90*I90*(1))</x:f>
      </x:c>
      <x:c r="O90" s="16" t="str">
        <x:f>IF(OR(F90="",I90="",K90&lt;&gt;"VERIFIED"),"",F90*I90*(1))</x:f>
      </x:c>
      <x:c r="P90" s="16" t="str">
        <x:f>IF(OR(F90="",I90="",K90&lt;&gt;"VERIFIED"),"",F90*I90*(1))</x:f>
      </x:c>
    </x:row>
    <x:row r="91">
      <x:c r="A91" t="str">
        <x:v>00 Vector CMC</x:v>
      </x:c>
      <x:c r="B91" t="str">
        <x:v>Project / vector</x:v>
      </x:c>
      <x:c r="C91" t="str">
        <x:v>GMP vector manufacturing attempt</x:v>
      </x:c>
      <x:c r="D91" t="str"/>
      <x:c r="E91" t="str"/>
      <x:c r="F91" s="10" t="n">
        <x:v>1</x:v>
      </x:c>
      <x:c r="G91" t="str">
        <x:v>program / lot</x:v>
      </x:c>
      <x:c r="H91" t="str"/>
      <x:c r="I91" s="14"/>
      <x:c r="J91" t="str"/>
      <x:c r="K91" s="10" t="str">
        <x:v>UNQUOTED</x:v>
      </x:c>
      <x:c r="L91" t="str">
        <x:v>per vector lot</x:v>
      </x:c>
      <x:c r="M91" t="str">
        <x:v>One common construct; one planned vector lot; confirm lot sufficiency</x:v>
      </x:c>
      <x:c r="N91" s="16" t="str">
        <x:f>IF(OR(F91="",I91="",K91&lt;&gt;"VERIFIED"),"",F91*I91*(1))</x:f>
      </x:c>
      <x:c r="O91" s="16" t="str">
        <x:f>IF(OR(F91="",I91="",K91&lt;&gt;"VERIFIED"),"",F91*I91*(1))</x:f>
      </x:c>
      <x:c r="P91" s="16" t="str">
        <x:f>IF(OR(F91="",I91="",K91&lt;&gt;"VERIFIED"),"",F91*I91*(1))</x:f>
      </x:c>
    </x:row>
    <x:row r="92">
      <x:c r="A92" t="str">
        <x:v>00 Vector CMC</x:v>
      </x:c>
      <x:c r="B92" t="str">
        <x:v>Project / vector</x:v>
      </x:c>
      <x:c r="C92" t="str">
        <x:v>GMP vector lot release QC</x:v>
      </x:c>
      <x:c r="D92" t="str"/>
      <x:c r="E92" t="str"/>
      <x:c r="F92" s="10" t="n">
        <x:v>1</x:v>
      </x:c>
      <x:c r="G92" t="str">
        <x:v>program / lot</x:v>
      </x:c>
      <x:c r="H92" t="str"/>
      <x:c r="I92" s="14"/>
      <x:c r="J92" t="str"/>
      <x:c r="K92" s="10" t="str">
        <x:v>UNQUOTED</x:v>
      </x:c>
      <x:c r="L92" t="str">
        <x:v>per vector lot</x:v>
      </x:c>
      <x:c r="M92" t="str">
        <x:v>One common construct; one planned vector lot; confirm lot sufficiency</x:v>
      </x:c>
      <x:c r="N92" s="16" t="str">
        <x:f>IF(OR(F92="",I92="",K92&lt;&gt;"VERIFIED"),"",F92*I92*(1))</x:f>
      </x:c>
      <x:c r="O92" s="16" t="str">
        <x:f>IF(OR(F92="",I92="",K92&lt;&gt;"VERIFIED"),"",F92*I92*(1))</x:f>
      </x:c>
      <x:c r="P92" s="16" t="str">
        <x:f>IF(OR(F92="",I92="",K92&lt;&gt;"VERIFIED"),"",F92*I92*(1))</x:f>
      </x:c>
    </x:row>
    <x:row r="93">
      <x:c r="A93" t="str">
        <x:v>00 Vector CMC</x:v>
      </x:c>
      <x:c r="B93" t="str">
        <x:v>Project / vector</x:v>
      </x:c>
      <x:c r="C93" t="str">
        <x:v>Vector stability and storage</x:v>
      </x:c>
      <x:c r="D93" t="str"/>
      <x:c r="E93" t="str"/>
      <x:c r="F93" s="10" t="n">
        <x:v>1</x:v>
      </x:c>
      <x:c r="G93" t="str">
        <x:v>program / lot</x:v>
      </x:c>
      <x:c r="H93" t="str"/>
      <x:c r="I93" s="14"/>
      <x:c r="J93" t="str"/>
      <x:c r="K93" s="10" t="str">
        <x:v>UNQUOTED</x:v>
      </x:c>
      <x:c r="L93" t="str">
        <x:v>per program</x:v>
      </x:c>
      <x:c r="M93" t="str">
        <x:v>One common construct; one planned vector lot; confirm lot sufficiency</x:v>
      </x:c>
      <x:c r="N93" s="16" t="str">
        <x:f>IF(OR(F93="",I93="",K93&lt;&gt;"VERIFIED"),"",F93*I93*(1))</x:f>
      </x:c>
      <x:c r="O93" s="16" t="str">
        <x:f>IF(OR(F93="",I93="",K93&lt;&gt;"VERIFIED"),"",F93*I93*(1))</x:f>
      </x:c>
      <x:c r="P93" s="16" t="str">
        <x:f>IF(OR(F93="",I93="",K93&lt;&gt;"VERIFIED"),"",F93*I93*(1))</x:f>
      </x:c>
    </x:row>
    <x:row r="94">
      <x:c r="A94" t="str">
        <x:v>14 Separate Overhead</x:v>
      </x:c>
      <x:c r="B94" t="str">
        <x:v>Labor / facility / equipment</x:v>
      </x:c>
      <x:c r="C94" t="str">
        <x:v>Operator manufacturing hours</x:v>
      </x:c>
      <x:c r="D94" t="str"/>
      <x:c r="E94" t="str"/>
      <x:c r="F94" s="10"/>
      <x:c r="G94" t="str">
        <x:v>hours / month / year</x:v>
      </x:c>
      <x:c r="H94" t="str"/>
      <x:c r="I94" s="14"/>
      <x:c r="J94" t="str"/>
      <x:c r="K94" s="10" t="str">
        <x:v>UNQUOTED</x:v>
      </x:c>
      <x:c r="L94" t="str">
        <x:v>per start</x:v>
      </x:c>
      <x:c r="M94" t="str">
        <x:v>Do not double count vendor all-inclusive service fees</x:v>
      </x:c>
      <x:c r="N94" s="16" t="str">
        <x:f>IF(OR(F94="",I94="",K94&lt;&gt;"VERIFIED"),"",F94*I94*('02 Patient Scenarios'!F2))</x:f>
      </x:c>
      <x:c r="O94" s="16" t="str">
        <x:f>IF(OR(F94="",I94="",K94&lt;&gt;"VERIFIED"),"",F94*I94*('02 Patient Scenarios'!F3))</x:f>
      </x:c>
      <x:c r="P94" s="16" t="str">
        <x:f>IF(OR(F94="",I94="",K94&lt;&gt;"VERIFIED"),"",F94*I94*('02 Patient Scenarios'!F4))</x:f>
      </x:c>
    </x:row>
    <x:row r="95">
      <x:c r="A95" t="str">
        <x:v>14 Separate Overhead</x:v>
      </x:c>
      <x:c r="B95" t="str">
        <x:v>Labor / facility / equipment</x:v>
      </x:c>
      <x:c r="C95" t="str">
        <x:v>QC analyst hours</x:v>
      </x:c>
      <x:c r="D95" t="str"/>
      <x:c r="E95" t="str"/>
      <x:c r="F95" s="10"/>
      <x:c r="G95" t="str">
        <x:v>hours / month / year</x:v>
      </x:c>
      <x:c r="H95" t="str"/>
      <x:c r="I95" s="14"/>
      <x:c r="J95" t="str"/>
      <x:c r="K95" s="10" t="str">
        <x:v>UNQUOTED</x:v>
      </x:c>
      <x:c r="L95" t="str">
        <x:v>per completed</x:v>
      </x:c>
      <x:c r="M95" t="str">
        <x:v>Do not double count vendor all-inclusive service fees</x:v>
      </x:c>
      <x:c r="N95" s="16" t="str">
        <x:f>IF(OR(F95="",I95="",K95&lt;&gt;"VERIFIED"),"",F95*I95*('02 Patient Scenarios'!G2))</x:f>
      </x:c>
      <x:c r="O95" s="16" t="str">
        <x:f>IF(OR(F95="",I95="",K95&lt;&gt;"VERIFIED"),"",F95*I95*('02 Patient Scenarios'!G3))</x:f>
      </x:c>
      <x:c r="P95" s="16" t="str">
        <x:f>IF(OR(F95="",I95="",K95&lt;&gt;"VERIFIED"),"",F95*I95*('02 Patient Scenarios'!G4))</x:f>
      </x:c>
    </x:row>
    <x:row r="96">
      <x:c r="A96" t="str">
        <x:v>14 Separate Overhead</x:v>
      </x:c>
      <x:c r="B96" t="str">
        <x:v>Labor / facility / equipment</x:v>
      </x:c>
      <x:c r="C96" t="str">
        <x:v>QA / QP batch review hours</x:v>
      </x:c>
      <x:c r="D96" t="str"/>
      <x:c r="E96" t="str"/>
      <x:c r="F96" s="10"/>
      <x:c r="G96" t="str">
        <x:v>hours / month / year</x:v>
      </x:c>
      <x:c r="H96" t="str"/>
      <x:c r="I96" s="14"/>
      <x:c r="J96" t="str"/>
      <x:c r="K96" s="10" t="str">
        <x:v>UNQUOTED</x:v>
      </x:c>
      <x:c r="L96" t="str">
        <x:v>per released</x:v>
      </x:c>
      <x:c r="M96" t="str">
        <x:v>Do not double count vendor all-inclusive service fees</x:v>
      </x:c>
      <x:c r="N96" s="16" t="str">
        <x:f>IF(OR(F96="",I96="",K96&lt;&gt;"VERIFIED"),"",F96*I96*('02 Patient Scenarios'!G2))</x:f>
      </x:c>
      <x:c r="O96" s="16" t="str">
        <x:f>IF(OR(F96="",I96="",K96&lt;&gt;"VERIFIED"),"",F96*I96*('02 Patient Scenarios'!G3))</x:f>
      </x:c>
      <x:c r="P96" s="16" t="str">
        <x:f>IF(OR(F96="",I96="",K96&lt;&gt;"VERIFIED"),"",F96*I96*('02 Patient Scenarios'!G4))</x:f>
      </x:c>
    </x:row>
    <x:row r="97">
      <x:c r="A97" t="str">
        <x:v>14 Separate Overhead</x:v>
      </x:c>
      <x:c r="B97" t="str">
        <x:v>Labor / facility / equipment</x:v>
      </x:c>
      <x:c r="C97" t="str">
        <x:v>Process development staff hours</x:v>
      </x:c>
      <x:c r="D97" t="str"/>
      <x:c r="E97" t="str"/>
      <x:c r="F97" s="10"/>
      <x:c r="G97" t="str">
        <x:v>hours / month / year</x:v>
      </x:c>
      <x:c r="H97" t="str"/>
      <x:c r="I97" s="14"/>
      <x:c r="J97" t="str"/>
      <x:c r="K97" s="10" t="str">
        <x:v>UNQUOTED</x:v>
      </x:c>
      <x:c r="L97" t="str">
        <x:v>per program</x:v>
      </x:c>
      <x:c r="M97" t="str">
        <x:v>Do not double count vendor all-inclusive service fees</x:v>
      </x:c>
      <x:c r="N97" s="16" t="str">
        <x:f>IF(OR(F97="",I97="",K97&lt;&gt;"VERIFIED"),"",F97*I97*(1))</x:f>
      </x:c>
      <x:c r="O97" s="16" t="str">
        <x:f>IF(OR(F97="",I97="",K97&lt;&gt;"VERIFIED"),"",F97*I97*(1))</x:f>
      </x:c>
      <x:c r="P97" s="16" t="str">
        <x:f>IF(OR(F97="",I97="",K97&lt;&gt;"VERIFIED"),"",F97*I97*(1))</x:f>
      </x:c>
    </x:row>
    <x:row r="98">
      <x:c r="A98" t="str">
        <x:v>14 Separate Overhead</x:v>
      </x:c>
      <x:c r="B98" t="str">
        <x:v>Labor / facility / equipment</x:v>
      </x:c>
      <x:c r="C98" t="str">
        <x:v>Project coordination hours</x:v>
      </x:c>
      <x:c r="D98" t="str"/>
      <x:c r="E98" t="str"/>
      <x:c r="F98" s="10"/>
      <x:c r="G98" t="str">
        <x:v>hours / month / year</x:v>
      </x:c>
      <x:c r="H98" t="str"/>
      <x:c r="I98" s="14"/>
      <x:c r="J98" t="str"/>
      <x:c r="K98" s="10" t="str">
        <x:v>UNQUOTED</x:v>
      </x:c>
      <x:c r="L98" t="str">
        <x:v>per program</x:v>
      </x:c>
      <x:c r="M98" t="str">
        <x:v>Do not double count vendor all-inclusive service fees</x:v>
      </x:c>
      <x:c r="N98" s="16" t="str">
        <x:f>IF(OR(F98="",I98="",K98&lt;&gt;"VERIFIED"),"",F98*I98*(1))</x:f>
      </x:c>
      <x:c r="O98" s="16" t="str">
        <x:f>IF(OR(F98="",I98="",K98&lt;&gt;"VERIFIED"),"",F98*I98*(1))</x:f>
      </x:c>
      <x:c r="P98" s="16" t="str">
        <x:f>IF(OR(F98="",I98="",K98&lt;&gt;"VERIFIED"),"",F98*I98*(1))</x:f>
      </x:c>
    </x:row>
    <x:row r="99">
      <x:c r="A99" t="str">
        <x:v>14 Separate Overhead</x:v>
      </x:c>
      <x:c r="B99" t="str">
        <x:v>Labor / facility / equipment</x:v>
      </x:c>
      <x:c r="C99" t="str">
        <x:v>Grade 2 GMP laboratory maintenance / environmental monitoring</x:v>
      </x:c>
      <x:c r="D99" t="str"/>
      <x:c r="E99" t="str"/>
      <x:c r="F99" s="10"/>
      <x:c r="G99" t="str">
        <x:v>hours / month / year</x:v>
      </x:c>
      <x:c r="H99" t="str"/>
      <x:c r="I99" s="14"/>
      <x:c r="J99" t="str"/>
      <x:c r="K99" s="10" t="str">
        <x:v>UNQUOTED</x:v>
      </x:c>
      <x:c r="L99" t="str">
        <x:v>per month</x:v>
      </x:c>
      <x:c r="M99" t="str">
        <x:v>Do not double count vendor all-inclusive service fees</x:v>
      </x:c>
      <x:c r="N99" s="16" t="str">
        <x:f>IF(OR(F99="",I99="",K99&lt;&gt;"VERIFIED"),"",F99*I99*('01 Assumptions'!B12))</x:f>
      </x:c>
      <x:c r="O99" s="16" t="str">
        <x:f>IF(OR(F99="",I99="",K99&lt;&gt;"VERIFIED"),"",F99*I99*('01 Assumptions'!C12))</x:f>
      </x:c>
      <x:c r="P99" s="16" t="str">
        <x:f>IF(OR(F99="",I99="",K99&lt;&gt;"VERIFIED"),"",F99*I99*('01 Assumptions'!D12))</x:f>
      </x:c>
    </x:row>
    <x:row r="100">
      <x:c r="A100" t="str">
        <x:v>14 Separate Overhead</x:v>
      </x:c>
      <x:c r="B100" t="str">
        <x:v>Labor / facility / equipment</x:v>
      </x:c>
      <x:c r="C100" t="str">
        <x:v>Facility qualification and calibration</x:v>
      </x:c>
      <x:c r="D100" t="str"/>
      <x:c r="E100" t="str"/>
      <x:c r="F100" s="10"/>
      <x:c r="G100" t="str">
        <x:v>hours / month / year</x:v>
      </x:c>
      <x:c r="H100" t="str"/>
      <x:c r="I100" s="14"/>
      <x:c r="J100" t="str"/>
      <x:c r="K100" s="10" t="str">
        <x:v>UNQUOTED</x:v>
      </x:c>
      <x:c r="L100" t="str">
        <x:v>per year</x:v>
      </x:c>
      <x:c r="M100" t="str">
        <x:v>Do not double count vendor all-inclusive service fees</x:v>
      </x:c>
      <x:c r="N100" s="16" t="str">
        <x:f>IF(OR(F100="",I100="",K100&lt;&gt;"VERIFIED"),"",F100*I100*('01 Assumptions'!B13))</x:f>
      </x:c>
      <x:c r="O100" s="16" t="str">
        <x:f>IF(OR(F100="",I100="",K100&lt;&gt;"VERIFIED"),"",F100*I100*('01 Assumptions'!C13))</x:f>
      </x:c>
      <x:c r="P100" s="16" t="str">
        <x:f>IF(OR(F100="",I100="",K100&lt;&gt;"VERIFIED"),"",F100*I100*('01 Assumptions'!D13))</x:f>
      </x:c>
    </x:row>
    <x:row r="101">
      <x:c r="A101" t="str">
        <x:v>14 Separate Overhead</x:v>
      </x:c>
      <x:c r="B101" t="str">
        <x:v>Labor / facility / equipment</x:v>
      </x:c>
      <x:c r="C101" t="str">
        <x:v>Prodigy equipment service / maintenance</x:v>
      </x:c>
      <x:c r="D101" t="str"/>
      <x:c r="E101" t="str"/>
      <x:c r="F101" s="10"/>
      <x:c r="G101" t="str">
        <x:v>hours / month / year</x:v>
      </x:c>
      <x:c r="H101" t="str"/>
      <x:c r="I101" s="14"/>
      <x:c r="J101" t="str"/>
      <x:c r="K101" s="10" t="str">
        <x:v>UNQUOTED</x:v>
      </x:c>
      <x:c r="L101" t="str">
        <x:v>per year</x:v>
      </x:c>
      <x:c r="M101" t="str">
        <x:v>Do not double count vendor all-inclusive service fees</x:v>
      </x:c>
      <x:c r="N101" s="16" t="str">
        <x:f>IF(OR(F101="",I101="",K101&lt;&gt;"VERIFIED"),"",F101*I101*('01 Assumptions'!B13))</x:f>
      </x:c>
      <x:c r="O101" s="16" t="str">
        <x:f>IF(OR(F101="",I101="",K101&lt;&gt;"VERIFIED"),"",F101*I101*('01 Assumptions'!C13))</x:f>
      </x:c>
      <x:c r="P101" s="16" t="str">
        <x:f>IF(OR(F101="",I101="",K101&lt;&gt;"VERIFIED"),"",F101*I101*('01 Assumptions'!D13))</x:f>
      </x:c>
    </x:row>
    <x:row r="102">
      <x:c r="A102" t="str">
        <x:v>14 Separate Overhead</x:v>
      </x:c>
      <x:c r="B102" t="str">
        <x:v>Labor / facility / equipment</x:v>
      </x:c>
      <x:c r="C102" t="str">
        <x:v>Sepax C-Pro equipment service / maintenance</x:v>
      </x:c>
      <x:c r="D102" t="str"/>
      <x:c r="E102" t="str"/>
      <x:c r="F102" s="10"/>
      <x:c r="G102" t="str">
        <x:v>hours / month / year</x:v>
      </x:c>
      <x:c r="H102" t="str"/>
      <x:c r="I102" s="14"/>
      <x:c r="J102" t="str"/>
      <x:c r="K102" s="10" t="str">
        <x:v>UNQUOTED</x:v>
      </x:c>
      <x:c r="L102" t="str">
        <x:v>per year</x:v>
      </x:c>
      <x:c r="M102" t="str">
        <x:v>Do not double count vendor all-inclusive service fees</x:v>
      </x:c>
      <x:c r="N102" s="16" t="str">
        <x:f>IF(OR(F102="",I102="",K102&lt;&gt;"VERIFIED"),"",F102*I102*('01 Assumptions'!B13))</x:f>
      </x:c>
      <x:c r="O102" s="16" t="str">
        <x:f>IF(OR(F102="",I102="",K102&lt;&gt;"VERIFIED"),"",F102*I102*('01 Assumptions'!C13))</x:f>
      </x:c>
      <x:c r="P102" s="16" t="str">
        <x:f>IF(OR(F102="",I102="",K102&lt;&gt;"VERIFIED"),"",F102*I102*('01 Assumptions'!D13))</x:f>
      </x:c>
    </x:row>
    <x:row r="103">
      <x:c r="A103" t="str">
        <x:v>14 Separate Overhead</x:v>
      </x:c>
      <x:c r="B103" t="str">
        <x:v>Labor / facility / equipment</x:v>
      </x:c>
      <x:c r="C103" t="str">
        <x:v>NC-200 / flow / ddPCR instrument maintenance</x:v>
      </x:c>
      <x:c r="D103" t="str"/>
      <x:c r="E103" t="str"/>
      <x:c r="F103" s="10"/>
      <x:c r="G103" t="str">
        <x:v>hours / month / year</x:v>
      </x:c>
      <x:c r="H103" t="str"/>
      <x:c r="I103" s="14"/>
      <x:c r="J103" t="str"/>
      <x:c r="K103" s="10" t="str">
        <x:v>UNQUOTED</x:v>
      </x:c>
      <x:c r="L103" t="str">
        <x:v>per year</x:v>
      </x:c>
      <x:c r="M103" t="str">
        <x:v>Do not double count vendor all-inclusive service fees</x:v>
      </x:c>
      <x:c r="N103" s="16" t="str">
        <x:f>IF(OR(F103="",I103="",K103&lt;&gt;"VERIFIED"),"",F103*I103*('01 Assumptions'!B13))</x:f>
      </x:c>
      <x:c r="O103" s="16" t="str">
        <x:f>IF(OR(F103="",I103="",K103&lt;&gt;"VERIFIED"),"",F103*I103*('01 Assumptions'!C13))</x:f>
      </x:c>
      <x:c r="P103" s="16" t="str">
        <x:f>IF(OR(F103="",I103="",K103&lt;&gt;"VERIFIED"),"",F103*I103*('01 Assumptions'!D13))</x:f>
      </x:c>
    </x:row>
    <x:row r="104">
      <x:c r="A104" t="str">
        <x:v>14 Separate Overhead</x:v>
      </x:c>
      <x:c r="B104" t="str">
        <x:v>Labor / facility / equipment</x:v>
      </x:c>
      <x:c r="C104" t="str">
        <x:v>Cleanroom utilities and waste</x:v>
      </x:c>
      <x:c r="D104" t="str"/>
      <x:c r="E104" t="str"/>
      <x:c r="F104" s="10"/>
      <x:c r="G104" t="str">
        <x:v>hours / month / year</x:v>
      </x:c>
      <x:c r="H104" t="str"/>
      <x:c r="I104" s="14"/>
      <x:c r="J104" t="str"/>
      <x:c r="K104" s="10" t="str">
        <x:v>UNQUOTED</x:v>
      </x:c>
      <x:c r="L104" t="str">
        <x:v>per month</x:v>
      </x:c>
      <x:c r="M104" t="str">
        <x:v>Do not double count vendor all-inclusive service fees</x:v>
      </x:c>
      <x:c r="N104" s="16" t="str">
        <x:f>IF(OR(F104="",I104="",K104&lt;&gt;"VERIFIED"),"",F104*I104*('01 Assumptions'!B12))</x:f>
      </x:c>
      <x:c r="O104" s="16" t="str">
        <x:f>IF(OR(F104="",I104="",K104&lt;&gt;"VERIFIED"),"",F104*I104*('01 Assumptions'!C12))</x:f>
      </x:c>
      <x:c r="P104" s="16" t="str">
        <x:f>IF(OR(F104="",I104="",K104&lt;&gt;"VERIFIED"),"",F104*I104*('01 Assumptions'!D12))</x:f>
      </x:c>
    </x:row>
    <x:row r="105">
      <x:c r="A105" s="19" t="str">
        <x:v>09 Release QC</x:v>
      </x:c>
      <x:c r="B105" s="19" t="str">
        <x:v>Release-associated donor/patient safety</x:v>
      </x:c>
      <x:c r="C105" s="19" t="str">
        <x:v>Anti-HIV-1/2</x:v>
      </x:c>
      <x:c r="D105" s="19"/>
      <x:c r="E105" s="19"/>
      <x:c r="F105" s="19" t="n">
        <x:v>1</x:v>
      </x:c>
      <x:c r="G105" s="19" t="str">
        <x:v>service/test</x:v>
      </x:c>
      <x:c r="H105" s="19"/>
      <x:c r="I105" s="19"/>
      <x:c r="J105" s="19"/>
      <x:c r="K105" s="19" t="str">
        <x:v>UNQUOTED</x:v>
      </x:c>
      <x:c r="L105" s="19" t="str">
        <x:v>per completed</x:v>
      </x:c>
      <x:c r="M105" s="19" t="str">
        <x:v>Donor/patient serology; not DP sterility; classify with QA; NOT final-product contamination test</x:v>
      </x:c>
      <x:c r="N105" s="19" t="str">
        <x:f>IF(OR(F105="",I105="",K105&lt;&gt;"VERIFIED"),"",F105*I105*('02 Patient Scenarios'!H2))</x:f>
      </x:c>
      <x:c r="O105" s="19" t="str">
        <x:f>IF(OR(F105="",I105="",K105&lt;&gt;"VERIFIED"),"",F105*I105*('02 Patient Scenarios'!H3))</x:f>
      </x:c>
      <x:c r="P105" s="19" t="str">
        <x:f>IF(OR(F105="",I105="",K105&lt;&gt;"VERIFIED"),"",F105*I105*('02 Patient Scenarios'!H4))</x:f>
      </x:c>
    </x:row>
    <x:row r="106">
      <x:c r="A106" s="19" t="str">
        <x:v>09 Release QC</x:v>
      </x:c>
      <x:c r="B106" s="19" t="str">
        <x:v>Release-associated donor/patient safety</x:v>
      </x:c>
      <x:c r="C106" s="19" t="str">
        <x:v>HBsAg</x:v>
      </x:c>
      <x:c r="D106" s="19"/>
      <x:c r="E106" s="19"/>
      <x:c r="F106" s="19" t="n">
        <x:v>1</x:v>
      </x:c>
      <x:c r="G106" s="19" t="str">
        <x:v>service/test</x:v>
      </x:c>
      <x:c r="H106" s="19"/>
      <x:c r="I106" s="19"/>
      <x:c r="J106" s="19"/>
      <x:c r="K106" s="19" t="str">
        <x:v>UNQUOTED</x:v>
      </x:c>
      <x:c r="L106" s="19" t="str">
        <x:v>per completed</x:v>
      </x:c>
      <x:c r="M106" s="19" t="str">
        <x:v>Donor/patient HBV infection status; classify with QA; NOT final-product contamination test</x:v>
      </x:c>
      <x:c r="N106" s="19" t="str">
        <x:f>IF(OR(F106="",I106="",K106&lt;&gt;"VERIFIED"),"",F106*I106*('02 Patient Scenarios'!H2))</x:f>
      </x:c>
      <x:c r="O106" s="19" t="str">
        <x:f>IF(OR(F106="",I106="",K106&lt;&gt;"VERIFIED"),"",F106*I106*('02 Patient Scenarios'!H3))</x:f>
      </x:c>
      <x:c r="P106" s="19" t="str">
        <x:f>IF(OR(F106="",I106="",K106&lt;&gt;"VERIFIED"),"",F106*I106*('02 Patient Scenarios'!H4))</x:f>
      </x:c>
    </x:row>
    <x:row r="107">
      <x:c r="A107" s="19" t="str">
        <x:v>09 Release QC</x:v>
      </x:c>
      <x:c r="B107" s="19" t="str">
        <x:v>Release-associated donor/patient safety</x:v>
      </x:c>
      <x:c r="C107" s="19" t="str">
        <x:v>Anti-HBc</x:v>
      </x:c>
      <x:c r="D107" s="19"/>
      <x:c r="E107" s="19"/>
      <x:c r="F107" s="19" t="n">
        <x:v>1</x:v>
      </x:c>
      <x:c r="G107" s="19" t="str">
        <x:v>service/test</x:v>
      </x:c>
      <x:c r="H107" s="19"/>
      <x:c r="I107" s="19"/>
      <x:c r="J107" s="19"/>
      <x:c r="K107" s="19" t="str">
        <x:v>UNQUOTED</x:v>
      </x:c>
      <x:c r="L107" s="19" t="str">
        <x:v>per completed</x:v>
      </x:c>
      <x:c r="M107" s="19" t="str">
        <x:v>Donor/patient HBV infection status; classify with QA; NOT final-product contamination test</x:v>
      </x:c>
      <x:c r="N107" s="19" t="str">
        <x:f>IF(OR(F107="",I107="",K107&lt;&gt;"VERIFIED"),"",F107*I107*('02 Patient Scenarios'!H2))</x:f>
      </x:c>
      <x:c r="O107" s="19" t="str">
        <x:f>IF(OR(F107="",I107="",K107&lt;&gt;"VERIFIED"),"",F107*I107*('02 Patient Scenarios'!H3))</x:f>
      </x:c>
      <x:c r="P107" s="19" t="str">
        <x:f>IF(OR(F107="",I107="",K107&lt;&gt;"VERIFIED"),"",F107*I107*('02 Patient Scenarios'!H4))</x:f>
      </x:c>
    </x:row>
    <x:row r="108">
      <x:c r="A108" s="19" t="str">
        <x:v>09 Release QC</x:v>
      </x:c>
      <x:c r="B108" s="19" t="str">
        <x:v>Release-associated donor/patient safety</x:v>
      </x:c>
      <x:c r="C108" s="19" t="str">
        <x:v>Anti-HCV</x:v>
      </x:c>
      <x:c r="D108" s="19"/>
      <x:c r="E108" s="19"/>
      <x:c r="F108" s="19" t="n">
        <x:v>1</x:v>
      </x:c>
      <x:c r="G108" s="19" t="str">
        <x:v>service/test</x:v>
      </x:c>
      <x:c r="H108" s="19"/>
      <x:c r="I108" s="19"/>
      <x:c r="J108" s="19"/>
      <x:c r="K108" s="19" t="str">
        <x:v>UNQUOTED</x:v>
      </x:c>
      <x:c r="L108" s="19" t="str">
        <x:v>per completed</x:v>
      </x:c>
      <x:c r="M108" s="19" t="str">
        <x:v>Donor/patient HCV infection status; classify with QA; NOT final-product contamination test</x:v>
      </x:c>
      <x:c r="N108" s="19" t="str">
        <x:f>IF(OR(F108="",I108="",K108&lt;&gt;"VERIFIED"),"",F108*I108*('02 Patient Scenarios'!H2))</x:f>
      </x:c>
      <x:c r="O108" s="19" t="str">
        <x:f>IF(OR(F108="",I108="",K108&lt;&gt;"VERIFIED"),"",F108*I108*('02 Patient Scenarios'!H3))</x:f>
      </x:c>
      <x:c r="P108" s="19" t="str">
        <x:f>IF(OR(F108="",I108="",K108&lt;&gt;"VERIFIED"),"",F108*I108*('02 Patient Scenarios'!H4))</x:f>
      </x:c>
    </x:row>
    <x:row r="109">
      <x:c r="A109" s="19" t="str">
        <x:v>09 Release QC</x:v>
      </x:c>
      <x:c r="B109" s="19" t="str">
        <x:v>Release-associated donor/patient safety</x:v>
      </x:c>
      <x:c r="C109" s="19" t="str">
        <x:v>Syphilis antibodies IgM/IgG</x:v>
      </x:c>
      <x:c r="D109" s="19"/>
      <x:c r="E109" s="19"/>
      <x:c r="F109" s="19" t="n">
        <x:v>1</x:v>
      </x:c>
      <x:c r="G109" s="19" t="str">
        <x:v>service/test</x:v>
      </x:c>
      <x:c r="H109" s="19"/>
      <x:c r="I109" s="19"/>
      <x:c r="J109" s="19"/>
      <x:c r="K109" s="19" t="str">
        <x:v>UNQUOTED</x:v>
      </x:c>
      <x:c r="L109" s="19" t="str">
        <x:v>per completed</x:v>
      </x:c>
      <x:c r="M109" s="19" t="str">
        <x:v>Donor/patient infection status; classify with QA; NOT final-product contamination test</x:v>
      </x:c>
      <x:c r="N109" s="19" t="str">
        <x:f>IF(OR(F109="",I109="",K109&lt;&gt;"VERIFIED"),"",F109*I109*('02 Patient Scenarios'!H2))</x:f>
      </x:c>
      <x:c r="O109" s="19" t="str">
        <x:f>IF(OR(F109="",I109="",K109&lt;&gt;"VERIFIED"),"",F109*I109*('02 Patient Scenarios'!H3))</x:f>
      </x:c>
      <x:c r="P109" s="19" t="str">
        <x:f>IF(OR(F109="",I109="",K109&lt;&gt;"VERIFIED"),"",F109*I109*('02 Patient Scenarios'!H4))</x:f>
      </x:c>
    </x:row>
    <x:row r="110">
      <x:c r="A110" s="19" t="str">
        <x:v>09 Release QC</x:v>
      </x:c>
      <x:c r="B110" s="19" t="str">
        <x:v>Release-associated donor/patient safety</x:v>
      </x:c>
      <x:c r="C110" s="19" t="str">
        <x:v>SARS-CoV-2</x:v>
      </x:c>
      <x:c r="D110" s="19"/>
      <x:c r="E110" s="19"/>
      <x:c r="F110" s="19" t="n">
        <x:v>1</x:v>
      </x:c>
      <x:c r="G110" s="19" t="str">
        <x:v>service/test</x:v>
      </x:c>
      <x:c r="H110" s="19"/>
      <x:c r="I110" s="19"/>
      <x:c r="J110" s="19"/>
      <x:c r="K110" s="19" t="str">
        <x:v>UNQUOTED</x:v>
      </x:c>
      <x:c r="L110" s="19" t="str">
        <x:v>per completed</x:v>
      </x:c>
      <x:c r="M110" s="19" t="str">
        <x:v>Clinical/manufacturing policy dependent; classify with QA; NOT final-product contamination test</x:v>
      </x:c>
      <x:c r="N110" s="19" t="str">
        <x:f>IF(OR(F110="",I110="",K110&lt;&gt;"VERIFIED"),"",F110*I110*('02 Patient Scenarios'!H2))</x:f>
      </x:c>
      <x:c r="O110" s="19" t="str">
        <x:f>IF(OR(F110="",I110="",K110&lt;&gt;"VERIFIED"),"",F110*I110*('02 Patient Scenarios'!H3))</x:f>
      </x:c>
      <x:c r="P110" s="19" t="str">
        <x:f>IF(OR(F110="",I110="",K110&lt;&gt;"VERIFIED"),"",F110*I110*('02 Patient Scenarios'!H4))</x:f>
      </x:c>
    </x:row>
    <x:row r="111">
      <x:c r="A111" t="str">
        <x:v>15 Clinical Professionals</x:v>
      </x:c>
      <x:c r="B111" t="str">
        <x:v>Clinical</x:v>
      </x:c>
      <x:c r="C111" t="str">
        <x:v>PI / physician medical oversight</x:v>
      </x:c>
      <x:c r="D111"/>
      <x:c r="E111"/>
      <x:c r="F111" t="n">
        <x:v>1</x:v>
      </x:c>
      <x:c r="G111" t="str">
        <x:v>service/test</x:v>
      </x:c>
      <x:c r="H111"/>
      <x:c r="I111"/>
      <x:c r="J111"/>
      <x:c r="K111" t="str">
        <x:v>UNQUOTED</x:v>
      </x:c>
      <x:c r="L111" t="str">
        <x:v>per program</x:v>
      </x:c>
      <x:c r="M111" s="19" t="str">
        <x:v>Protocol, patient eligibility, adverse event oversight; avoid duplicating hospital fee</x:v>
      </x:c>
      <x:c r="N111" t="str">
        <x:f>IF(OR(F111="",I111="",K111&lt;&gt;"VERIFIED"),"",F111*I111*(1))</x:f>
      </x:c>
      <x:c r="O111" t="str">
        <x:f>IF(OR(F111="",I111="",K111&lt;&gt;"VERIFIED"),"",F111*I111*(1))</x:f>
      </x:c>
      <x:c r="P111" t="str">
        <x:f>IF(OR(F111="",I111="",K111&lt;&gt;"VERIFIED"),"",F111*I111*(1))</x:f>
      </x:c>
    </x:row>
    <x:row r="112">
      <x:c r="A112" t="str">
        <x:v>15 Clinical Professionals</x:v>
      </x:c>
      <x:c r="B112" t="str">
        <x:v>Clinical</x:v>
      </x:c>
      <x:c r="C112" t="str">
        <x:v>Apheresis physician / nursing time</x:v>
      </x:c>
      <x:c r="D112"/>
      <x:c r="E112"/>
      <x:c r="F112" t="n">
        <x:v>1</x:v>
      </x:c>
      <x:c r="G112" t="str">
        <x:v>service/test</x:v>
      </x:c>
      <x:c r="H112"/>
      <x:c r="I112"/>
      <x:c r="J112"/>
      <x:c r="K112" t="str">
        <x:v>UNQUOTED</x:v>
      </x:c>
      <x:c r="L112" t="str">
        <x:v>per collection</x:v>
      </x:c>
      <x:c r="M112" s="19" t="str">
        <x:v>Separate from bundled apheresis fee</x:v>
      </x:c>
      <x:c r="N112" t="str">
        <x:f>IF(OR(F112="",I112="",K112&lt;&gt;"VERIFIED"),"",F112*I112*('02 Patient Scenarios'!F2))</x:f>
      </x:c>
      <x:c r="O112" t="str">
        <x:f>IF(OR(F112="",I112="",K112&lt;&gt;"VERIFIED"),"",F112*I112*('02 Patient Scenarios'!F3))</x:f>
      </x:c>
      <x:c r="P112" t="str">
        <x:f>IF(OR(F112="",I112="",K112&lt;&gt;"VERIFIED"),"",F112*I112*('02 Patient Scenarios'!F4))</x:f>
      </x:c>
    </x:row>
    <x:row r="113">
      <x:c r="A113" t="str">
        <x:v>15 Clinical Professionals</x:v>
      </x:c>
      <x:c r="B113" t="str">
        <x:v>Clinical</x:v>
      </x:c>
      <x:c r="C113" t="str">
        <x:v>CAR-T infusion physician / nursing time</x:v>
      </x:c>
      <x:c r="D113"/>
      <x:c r="E113"/>
      <x:c r="F113" t="n">
        <x:v>1</x:v>
      </x:c>
      <x:c r="G113" t="str">
        <x:v>service/test</x:v>
      </x:c>
      <x:c r="H113"/>
      <x:c r="I113"/>
      <x:c r="J113"/>
      <x:c r="K113" t="str">
        <x:v>UNQUOTED</x:v>
      </x:c>
      <x:c r="L113" t="str">
        <x:v>per infused</x:v>
      </x:c>
      <x:c r="M113" s="19" t="str">
        <x:v>Separate from bundled infusion fee</x:v>
      </x:c>
      <x:c r="N113" t="str">
        <x:f>IF(OR(F113="",I113="",K113&lt;&gt;"VERIFIED"),"",F113*I113*('02 Patient Scenarios'!K2))</x:f>
      </x:c>
      <x:c r="O113" t="str">
        <x:f>IF(OR(F113="",I113="",K113&lt;&gt;"VERIFIED"),"",F113*I113*('02 Patient Scenarios'!K3))</x:f>
      </x:c>
      <x:c r="P113" t="str">
        <x:f>IF(OR(F113="",I113="",K113&lt;&gt;"VERIFIED"),"",F113*I113*('02 Patient Scenarios'!K4))</x:f>
      </x:c>
    </x:row>
    <x:row r="114">
      <x:c r="A114" t="str">
        <x:v>15 Clinical Professionals</x:v>
      </x:c>
      <x:c r="B114" t="str">
        <x:v>Clinical</x:v>
      </x:c>
      <x:c r="C114" t="str">
        <x:v>Hospitalization / CRS / ICANS monitoring</x:v>
      </x:c>
      <x:c r="D114"/>
      <x:c r="E114"/>
      <x:c r="F114" t="n">
        <x:v>1</x:v>
      </x:c>
      <x:c r="G114" t="str">
        <x:v>service/test</x:v>
      </x:c>
      <x:c r="H114"/>
      <x:c r="I114"/>
      <x:c r="J114"/>
      <x:c r="K114" t="str">
        <x:v>UNQUOTED</x:v>
      </x:c>
      <x:c r="L114" t="str">
        <x:v>per infused</x:v>
      </x:c>
      <x:c r="M114" s="19" t="str">
        <x:v>Variable acuity; use expected utilization, not flat assumption</x:v>
      </x:c>
      <x:c r="N114" t="str">
        <x:f>IF(OR(F114="",I114="",K114&lt;&gt;"VERIFIED"),"",F114*I114*('02 Patient Scenarios'!K2))</x:f>
      </x:c>
      <x:c r="O114" t="str">
        <x:f>IF(OR(F114="",I114="",K114&lt;&gt;"VERIFIED"),"",F114*I114*('02 Patient Scenarios'!K3))</x:f>
      </x:c>
      <x:c r="P114" t="str">
        <x:f>IF(OR(F114="",I114="",K114&lt;&gt;"VERIFIED"),"",F114*I114*('02 Patient Scenarios'!K4))</x:f>
      </x:c>
    </x:row>
    <x:row r="115">
      <x:c r="A115" t="str">
        <x:v>15 Clinical Professionals</x:v>
      </x:c>
      <x:c r="B115" t="str">
        <x:v>Clinical</x:v>
      </x:c>
      <x:c r="C115" t="str">
        <x:v>Pharmacist / investigational product handling</x:v>
      </x:c>
      <x:c r="D115"/>
      <x:c r="E115"/>
      <x:c r="F115" t="n">
        <x:v>1</x:v>
      </x:c>
      <x:c r="G115" t="str">
        <x:v>service/test</x:v>
      </x:c>
      <x:c r="H115"/>
      <x:c r="I115"/>
      <x:c r="J115"/>
      <x:c r="K115" t="str">
        <x:v>UNQUOTED</x:v>
      </x:c>
      <x:c r="L115" t="str">
        <x:v>per infused</x:v>
      </x:c>
      <x:c r="M115" s="19" t="str">
        <x:v>Dispensing, chain of custody, thaw coordination</x:v>
      </x:c>
      <x:c r="N115" t="str">
        <x:f>IF(OR(F115="",I115="",K115&lt;&gt;"VERIFIED"),"",F115*I115*('02 Patient Scenarios'!K2))</x:f>
      </x:c>
      <x:c r="O115" t="str">
        <x:f>IF(OR(F115="",I115="",K115&lt;&gt;"VERIFIED"),"",F115*I115*('02 Patient Scenarios'!K3))</x:f>
      </x:c>
      <x:c r="P115" t="str">
        <x:f>IF(OR(F115="",I115="",K115&lt;&gt;"VERIFIED"),"",F115*I115*('02 Patient Scenarios'!K4))</x:f>
      </x:c>
    </x:row>
    <x:row r="116">
      <x:c r="A116" t="str">
        <x:v>16 Administration</x:v>
      </x:c>
      <x:c r="B116" t="str">
        <x:v>Admin</x:v>
      </x:c>
      <x:c r="C116" t="str">
        <x:v>Sponsor project management</x:v>
      </x:c>
      <x:c r="D116"/>
      <x:c r="E116"/>
      <x:c r="F116" t="n">
        <x:v>1</x:v>
      </x:c>
      <x:c r="G116" t="str">
        <x:v>service/test</x:v>
      </x:c>
      <x:c r="H116"/>
      <x:c r="I116"/>
      <x:c r="J116"/>
      <x:c r="K116" t="str">
        <x:v>UNQUOTED</x:v>
      </x:c>
      <x:c r="L116" t="str">
        <x:v>per program</x:v>
      </x:c>
      <x:c r="M116" s="19" t="str">
        <x:v>Study coordination and budget management</x:v>
      </x:c>
      <x:c r="N116" t="str">
        <x:f>IF(OR(F116="",I116="",K116&lt;&gt;"VERIFIED"),"",F116*I116*(1))</x:f>
      </x:c>
      <x:c r="O116" t="str">
        <x:f>IF(OR(F116="",I116="",K116&lt;&gt;"VERIFIED"),"",F116*I116*(1))</x:f>
      </x:c>
      <x:c r="P116" t="str">
        <x:f>IF(OR(F116="",I116="",K116&lt;&gt;"VERIFIED"),"",F116*I116*(1))</x:f>
      </x:c>
    </x:row>
    <x:row r="117">
      <x:c r="A117" t="str">
        <x:v>16 Administration</x:v>
      </x:c>
      <x:c r="B117" t="str">
        <x:v>Admin</x:v>
      </x:c>
      <x:c r="C117" t="str">
        <x:v>Clinical trial coordinator / data entry</x:v>
      </x:c>
      <x:c r="D117"/>
      <x:c r="E117"/>
      <x:c r="F117" t="n">
        <x:v>1</x:v>
      </x:c>
      <x:c r="G117" t="str">
        <x:v>service/test</x:v>
      </x:c>
      <x:c r="H117"/>
      <x:c r="I117"/>
      <x:c r="J117"/>
      <x:c r="K117" t="str">
        <x:v>UNQUOTED</x:v>
      </x:c>
      <x:c r="L117" t="str">
        <x:v>per screened</x:v>
      </x:c>
      <x:c r="M117" s="19" t="str">
        <x:v>Screening and source documentation</x:v>
      </x:c>
      <x:c r="N117" t="str">
        <x:f>IF(OR(F117="",I117="",K117&lt;&gt;"VERIFIED"),"",F117*I117*('02 Patient Scenarios'!E2))</x:f>
      </x:c>
      <x:c r="O117" t="str">
        <x:f>IF(OR(F117="",I117="",K117&lt;&gt;"VERIFIED"),"",F117*I117*('02 Patient Scenarios'!E3))</x:f>
      </x:c>
      <x:c r="P117" t="str">
        <x:f>IF(OR(F117="",I117="",K117&lt;&gt;"VERIFIED"),"",F117*I117*('02 Patient Scenarios'!E4))</x:f>
      </x:c>
    </x:row>
    <x:row r="118">
      <x:c r="A118" t="str">
        <x:v>16 Administration</x:v>
      </x:c>
      <x:c r="B118" t="str">
        <x:v>Admin</x:v>
      </x:c>
      <x:c r="C118" t="str">
        <x:v>Regulatory submissions and ethics amendments</x:v>
      </x:c>
      <x:c r="D118"/>
      <x:c r="E118"/>
      <x:c r="F118" t="n">
        <x:v>1</x:v>
      </x:c>
      <x:c r="G118" t="str">
        <x:v>service/test</x:v>
      </x:c>
      <x:c r="H118"/>
      <x:c r="I118"/>
      <x:c r="J118"/>
      <x:c r="K118" t="str">
        <x:v>UNQUOTED</x:v>
      </x:c>
      <x:c r="L118" t="str">
        <x:v>per program</x:v>
      </x:c>
      <x:c r="M118" s="19" t="str">
        <x:v>Competent authority, ethics, amendments</x:v>
      </x:c>
      <x:c r="N118" t="str">
        <x:f>IF(OR(F118="",I118="",K118&lt;&gt;"VERIFIED"),"",F118*I118*(1))</x:f>
      </x:c>
      <x:c r="O118" t="str">
        <x:f>IF(OR(F118="",I118="",K118&lt;&gt;"VERIFIED"),"",F118*I118*(1))</x:f>
      </x:c>
      <x:c r="P118" t="str">
        <x:f>IF(OR(F118="",I118="",K118&lt;&gt;"VERIFIED"),"",F118*I118*(1))</x:f>
      </x:c>
    </x:row>
    <x:row r="119">
      <x:c r="A119" t="str">
        <x:v>16 Administration</x:v>
      </x:c>
      <x:c r="B119" t="str">
        <x:v>Admin</x:v>
      </x:c>
      <x:c r="C119" t="str">
        <x:v>Insurance, legal, contracting, privacy</x:v>
      </x:c>
      <x:c r="D119"/>
      <x:c r="E119"/>
      <x:c r="F119" t="n">
        <x:v>1</x:v>
      </x:c>
      <x:c r="G119" t="str">
        <x:v>service/test</x:v>
      </x:c>
      <x:c r="H119"/>
      <x:c r="I119"/>
      <x:c r="J119"/>
      <x:c r="K119" t="str">
        <x:v>UNQUOTED</x:v>
      </x:c>
      <x:c r="L119" t="str">
        <x:v>per program</x:v>
      </x:c>
      <x:c r="M119" s="19" t="str">
        <x:v>Trial insurance, GDPR and contracts</x:v>
      </x:c>
      <x:c r="N119" t="str">
        <x:f>IF(OR(F119="",I119="",K119&lt;&gt;"VERIFIED"),"",F119*I119*(1))</x:f>
      </x:c>
      <x:c r="O119" t="str">
        <x:f>IF(OR(F119="",I119="",K119&lt;&gt;"VERIFIED"),"",F119*I119*(1))</x:f>
      </x:c>
      <x:c r="P119" t="str">
        <x:f>IF(OR(F119="",I119="",K119&lt;&gt;"VERIFIED"),"",F119*I119*(1))</x:f>
      </x:c>
    </x:row>
    <x:row r="120">
      <x:c r="A120" t="str">
        <x:v>16 Administration</x:v>
      </x:c>
      <x:c r="B120" t="str">
        <x:v>Admin</x:v>
      </x:c>
      <x:c r="C120" t="str">
        <x:v>Monitoring, GCP audit and TMF archiving</x:v>
      </x:c>
      <x:c r="D120"/>
      <x:c r="E120"/>
      <x:c r="F120" t="n">
        <x:v>1</x:v>
      </x:c>
      <x:c r="G120" t="str">
        <x:v>service/test</x:v>
      </x:c>
      <x:c r="H120"/>
      <x:c r="I120"/>
      <x:c r="J120"/>
      <x:c r="K120" t="str">
        <x:v>UNQUOTED</x:v>
      </x:c>
      <x:c r="L120" t="str">
        <x:v>per program</x:v>
      </x:c>
      <x:c r="M120" s="19" t="str">
        <x:v>Monitoring visits, CAPA, document retention</x:v>
      </x:c>
      <x:c r="N120" t="str">
        <x:f>IF(OR(F120="",I120="",K120&lt;&gt;"VERIFIED"),"",F120*I120*(1))</x:f>
      </x:c>
      <x:c r="O120" t="str">
        <x:f>IF(OR(F120="",I120="",K120&lt;&gt;"VERIFIED"),"",F120*I120*(1))</x:f>
      </x:c>
      <x:c r="P120" t="str">
        <x:f>IF(OR(F120="",I120="",K120&lt;&gt;"VERIFIED"),"",F120*I120*(1))</x:f>
      </x:c>
    </x:row>
    <x:row r="121">
      <x:c r="A121" t="str">
        <x:v>17 Training</x:v>
      </x:c>
      <x:c r="B121" t="str">
        <x:v>Training</x:v>
      </x:c>
      <x:c r="C121" t="str">
        <x:v>GMP operator qualification and aseptic training</x:v>
      </x:c>
      <x:c r="D121"/>
      <x:c r="E121"/>
      <x:c r="F121" t="n">
        <x:v>1</x:v>
      </x:c>
      <x:c r="G121" t="str">
        <x:v>service/test</x:v>
      </x:c>
      <x:c r="H121"/>
      <x:c r="I121"/>
      <x:c r="J121"/>
      <x:c r="K121" t="str">
        <x:v>UNQUOTED</x:v>
      </x:c>
      <x:c r="L121" t="str">
        <x:v>per program</x:v>
      </x:c>
      <x:c r="M121" s="19" t="str">
        <x:v>Initial and refresher training, gowning qualification</x:v>
      </x:c>
      <x:c r="N121" t="str">
        <x:f>IF(OR(F121="",I121="",K121&lt;&gt;"VERIFIED"),"",F121*I121*(1))</x:f>
      </x:c>
      <x:c r="O121" t="str">
        <x:f>IF(OR(F121="",I121="",K121&lt;&gt;"VERIFIED"),"",F121*I121*(1))</x:f>
      </x:c>
      <x:c r="P121" t="str">
        <x:f>IF(OR(F121="",I121="",K121&lt;&gt;"VERIFIED"),"",F121*I121*(1))</x:f>
      </x:c>
    </x:row>
    <x:row r="122">
      <x:c r="A122" t="str">
        <x:v>17 Training</x:v>
      </x:c>
      <x:c r="B122" t="str">
        <x:v>Training</x:v>
      </x:c>
      <x:c r="C122" t="str">
        <x:v>CliniMACS Prodigy / Sepax vendor training</x:v>
      </x:c>
      <x:c r="D122"/>
      <x:c r="E122"/>
      <x:c r="F122" t="n">
        <x:v>1</x:v>
      </x:c>
      <x:c r="G122" t="str">
        <x:v>service/test</x:v>
      </x:c>
      <x:c r="H122"/>
      <x:c r="I122"/>
      <x:c r="J122"/>
      <x:c r="K122" t="str">
        <x:v>UNQUOTED</x:v>
      </x:c>
      <x:c r="L122" t="str">
        <x:v>per program</x:v>
      </x:c>
      <x:c r="M122" s="19" t="str">
        <x:v>Operator and service training</x:v>
      </x:c>
      <x:c r="N122" t="str">
        <x:f>IF(OR(F122="",I122="",K122&lt;&gt;"VERIFIED"),"",F122*I122*(1))</x:f>
      </x:c>
      <x:c r="O122" t="str">
        <x:f>IF(OR(F122="",I122="",K122&lt;&gt;"VERIFIED"),"",F122*I122*(1))</x:f>
      </x:c>
      <x:c r="P122" t="str">
        <x:f>IF(OR(F122="",I122="",K122&lt;&gt;"VERIFIED"),"",F122*I122*(1))</x:f>
      </x:c>
    </x:row>
    <x:row r="123">
      <x:c r="A123" t="str">
        <x:v>17 Training</x:v>
      </x:c>
      <x:c r="B123" t="str">
        <x:v>Training</x:v>
      </x:c>
      <x:c r="C123" t="str">
        <x:v>QC method training and competency</x:v>
      </x:c>
      <x:c r="D123"/>
      <x:c r="E123"/>
      <x:c r="F123" t="n">
        <x:v>1</x:v>
      </x:c>
      <x:c r="G123" t="str">
        <x:v>service/test</x:v>
      </x:c>
      <x:c r="H123"/>
      <x:c r="I123"/>
      <x:c r="J123"/>
      <x:c r="K123" t="str">
        <x:v>UNQUOTED</x:v>
      </x:c>
      <x:c r="L123" t="str">
        <x:v>per program</x:v>
      </x:c>
      <x:c r="M123" s="19" t="str">
        <x:v>Flow, ddPCR, microbial methods</x:v>
      </x:c>
      <x:c r="N123" t="str">
        <x:f>IF(OR(F123="",I123="",K123&lt;&gt;"VERIFIED"),"",F123*I123*(1))</x:f>
      </x:c>
      <x:c r="O123" t="str">
        <x:f>IF(OR(F123="",I123="",K123&lt;&gt;"VERIFIED"),"",F123*I123*(1))</x:f>
      </x:c>
      <x:c r="P123" t="str">
        <x:f>IF(OR(F123="",I123="",K123&lt;&gt;"VERIFIED"),"",F123*I123*(1))</x:f>
      </x:c>
    </x:row>
    <x:row r="124">
      <x:c r="A124" t="str">
        <x:v>17 Training</x:v>
      </x:c>
      <x:c r="B124" t="str">
        <x:v>Training</x:v>
      </x:c>
      <x:c r="C124" t="str">
        <x:v>GCP, biosafety and emergency response training</x:v>
      </x:c>
      <x:c r="D124"/>
      <x:c r="E124"/>
      <x:c r="F124" t="n">
        <x:v>1</x:v>
      </x:c>
      <x:c r="G124" t="str">
        <x:v>service/test</x:v>
      </x:c>
      <x:c r="H124"/>
      <x:c r="I124"/>
      <x:c r="J124"/>
      <x:c r="K124" t="str">
        <x:v>UNQUOTED</x:v>
      </x:c>
      <x:c r="L124" t="str">
        <x:v>per program</x:v>
      </x:c>
      <x:c r="M124" s="19" t="str">
        <x:v>Medical and manufacturing staff</x:v>
      </x:c>
      <x:c r="N124" t="str">
        <x:f>IF(OR(F124="",I124="",K124&lt;&gt;"VERIFIED"),"",F124*I124*(1))</x:f>
      </x:c>
      <x:c r="O124" t="str">
        <x:f>IF(OR(F124="",I124="",K124&lt;&gt;"VERIFIED"),"",F124*I124*(1))</x:f>
      </x:c>
      <x:c r="P124" t="str">
        <x:f>IF(OR(F124="",I124="",K124&lt;&gt;"VERIFIED"),"",F124*I124*(1))</x:f>
      </x:c>
    </x:row>
    <x:row r="125">
      <x:c r="A125" t="str">
        <x:v>18 Facility &amp; Equipment</x:v>
      </x:c>
      <x:c r="B125" t="str">
        <x:v>Facility</x:v>
      </x:c>
      <x:c r="C125" t="str">
        <x:v>Grade 2 / Grade B GMP cleanroom upkeep</x:v>
      </x:c>
      <x:c r="D125"/>
      <x:c r="E125"/>
      <x:c r="F125" t="n">
        <x:v>1</x:v>
      </x:c>
      <x:c r="G125" t="str">
        <x:v>service/test</x:v>
      </x:c>
      <x:c r="H125"/>
      <x:c r="I125"/>
      <x:c r="J125"/>
      <x:c r="K125" t="str">
        <x:v>UNQUOTED</x:v>
      </x:c>
      <x:c r="L125" t="str">
        <x:v>per program</x:v>
      </x:c>
      <x:c r="M125" s="19" t="str">
        <x:v>Confirm actual classified grade; cleaning, EM, utilities, HVAC</x:v>
      </x:c>
      <x:c r="N125" t="str">
        <x:f>IF(OR(F125="",I125="",K125&lt;&gt;"VERIFIED"),"",F125*I125*(1))</x:f>
      </x:c>
      <x:c r="O125" t="str">
        <x:f>IF(OR(F125="",I125="",K125&lt;&gt;"VERIFIED"),"",F125*I125*(1))</x:f>
      </x:c>
      <x:c r="P125" t="str">
        <x:f>IF(OR(F125="",I125="",K125&lt;&gt;"VERIFIED"),"",F125*I125*(1))</x:f>
      </x:c>
    </x:row>
    <x:row r="126">
      <x:c r="A126" t="str">
        <x:v>18 Facility &amp; Equipment</x:v>
      </x:c>
      <x:c r="B126" t="str">
        <x:v>Facility</x:v>
      </x:c>
      <x:c r="C126" t="str">
        <x:v>Environmental monitoring / gowning consumables</x:v>
      </x:c>
      <x:c r="D126"/>
      <x:c r="E126"/>
      <x:c r="F126" t="n">
        <x:v>1</x:v>
      </x:c>
      <x:c r="G126" t="str">
        <x:v>service/test</x:v>
      </x:c>
      <x:c r="H126"/>
      <x:c r="I126"/>
      <x:c r="J126"/>
      <x:c r="K126" t="str">
        <x:v>UNQUOTED</x:v>
      </x:c>
      <x:c r="L126" t="str">
        <x:v>per start</x:v>
      </x:c>
      <x:c r="M126" s="19" t="str">
        <x:v>Routine EM, media fills, cleaning supplies</x:v>
      </x:c>
      <x:c r="N126" t="str">
        <x:f>IF(OR(F126="",I126="",K126&lt;&gt;"VERIFIED"),"",F126*I126*('02 Patient Scenarios'!G2))</x:f>
      </x:c>
      <x:c r="O126" t="str">
        <x:f>IF(OR(F126="",I126="",K126&lt;&gt;"VERIFIED"),"",F126*I126*('02 Patient Scenarios'!G3))</x:f>
      </x:c>
      <x:c r="P126" t="str">
        <x:f>IF(OR(F126="",I126="",K126&lt;&gt;"VERIFIED"),"",F126*I126*('02 Patient Scenarios'!G4))</x:f>
      </x:c>
    </x:row>
    <x:row r="127">
      <x:c r="A127" t="str">
        <x:v>18 Facility &amp; Equipment</x:v>
      </x:c>
      <x:c r="B127" t="str">
        <x:v>Equipment</x:v>
      </x:c>
      <x:c r="C127" t="str">
        <x:v>Prodigy, Sepax and QC instrument maintenance</x:v>
      </x:c>
      <x:c r="D127"/>
      <x:c r="E127"/>
      <x:c r="F127" t="n">
        <x:v>1</x:v>
      </x:c>
      <x:c r="G127" t="str">
        <x:v>service/test</x:v>
      </x:c>
      <x:c r="H127"/>
      <x:c r="I127"/>
      <x:c r="J127"/>
      <x:c r="K127" t="str">
        <x:v>UNQUOTED</x:v>
      </x:c>
      <x:c r="L127" t="str">
        <x:v>per program</x:v>
      </x:c>
      <x:c r="M127" s="19" t="str">
        <x:v>Service contracts and preventive maintenance</x:v>
      </x:c>
      <x:c r="N127" t="str">
        <x:f>IF(OR(F127="",I127="",K127&lt;&gt;"VERIFIED"),"",F127*I127*(1))</x:f>
      </x:c>
      <x:c r="O127" t="str">
        <x:f>IF(OR(F127="",I127="",K127&lt;&gt;"VERIFIED"),"",F127*I127*(1))</x:f>
      </x:c>
      <x:c r="P127" t="str">
        <x:f>IF(OR(F127="",I127="",K127&lt;&gt;"VERIFIED"),"",F127*I127*(1))</x:f>
      </x:c>
    </x:row>
    <x:row r="128">
      <x:c r="A128" t="str">
        <x:v>18 Facility &amp; Equipment</x:v>
      </x:c>
      <x:c r="B128" t="str">
        <x:v>Equipment</x:v>
      </x:c>
      <x:c r="C128" t="str">
        <x:v>Calibration, qualification and requalification</x:v>
      </x:c>
      <x:c r="D128"/>
      <x:c r="E128"/>
      <x:c r="F128" t="n">
        <x:v>1</x:v>
      </x:c>
      <x:c r="G128" t="str">
        <x:v>service/test</x:v>
      </x:c>
      <x:c r="H128"/>
      <x:c r="I128"/>
      <x:c r="J128"/>
      <x:c r="K128" t="str">
        <x:v>UNQUOTED</x:v>
      </x:c>
      <x:c r="L128" t="str">
        <x:v>per program</x:v>
      </x:c>
      <x:c r="M128" s="19" t="str">
        <x:v>IQ/OQ/PQ, NC-200, QX200, flow and cold chain</x:v>
      </x:c>
      <x:c r="N128" t="str">
        <x:f>IF(OR(F128="",I128="",K128&lt;&gt;"VERIFIED"),"",F128*I128*(1))</x:f>
      </x:c>
      <x:c r="O128" t="str">
        <x:f>IF(OR(F128="",I128="",K128&lt;&gt;"VERIFIED"),"",F128*I128*(1))</x:f>
      </x:c>
      <x:c r="P128" t="str">
        <x:f>IF(OR(F128="",I128="",K128&lt;&gt;"VERIFIED"),"",F128*I128*(1))</x:f>
      </x:c>
    </x:row>
    <x:row r="129">
      <x:c r="A129" t="str">
        <x:v>18 Facility &amp; Equipment</x:v>
      </x:c>
      <x:c r="B129" t="str">
        <x:v>Equipment</x:v>
      </x:c>
      <x:c r="C129" t="str">
        <x:v>Freezer alarms, LN2 and temperature monitoring</x:v>
      </x:c>
      <x:c r="D129"/>
      <x:c r="E129"/>
      <x:c r="F129" t="n">
        <x:v>1</x:v>
      </x:c>
      <x:c r="G129" t="str">
        <x:v>service/test</x:v>
      </x:c>
      <x:c r="H129"/>
      <x:c r="I129"/>
      <x:c r="J129"/>
      <x:c r="K129" t="str">
        <x:v>UNQUOTED</x:v>
      </x:c>
      <x:c r="L129" t="str">
        <x:v>per program</x:v>
      </x:c>
      <x:c r="M129" s="19" t="str">
        <x:v>24/7 alarms, backup storage</x:v>
      </x:c>
      <x:c r="N129" t="str">
        <x:f>IF(OR(F129="",I129="",K129&lt;&gt;"VERIFIED"),"",F129*I129*(1))</x:f>
      </x:c>
      <x:c r="O129" t="str">
        <x:f>IF(OR(F129="",I129="",K129&lt;&gt;"VERIFIED"),"",F129*I129*(1))</x:f>
      </x:c>
      <x:c r="P129" t="str">
        <x:f>IF(OR(F129="",I129="",K129&lt;&gt;"VERIFIED"),"",F129*I129*(1))</x:f>
      </x:c>
    </x:row>
    <x:row r="130">
      <x:c r="A130" t="str">
        <x:v>19 Other &amp; Contingency</x:v>
      </x:c>
      <x:c r="B130" t="str">
        <x:v>Misc</x:v>
      </x:c>
      <x:c r="C130" t="str">
        <x:v>Batch deviation, OOS and CAPA reserve</x:v>
      </x:c>
      <x:c r="D130"/>
      <x:c r="E130"/>
      <x:c r="F130" t="n">
        <x:v>1</x:v>
      </x:c>
      <x:c r="G130" t="str">
        <x:v>service/test</x:v>
      </x:c>
      <x:c r="H130"/>
      <x:c r="I130"/>
      <x:c r="J130"/>
      <x:c r="K130" t="str">
        <x:v>UNQUOTED</x:v>
      </x:c>
      <x:c r="L130" t="str">
        <x:v>per program</x:v>
      </x:c>
      <x:c r="M130" s="19" t="str">
        <x:v>Do not assume all events; use risk-based allowance</x:v>
      </x:c>
      <x:c r="N130" t="str">
        <x:f>IF(OR(F130="",I130="",K130&lt;&gt;"VERIFIED"),"",F130*I130*(1))</x:f>
      </x:c>
      <x:c r="O130" t="str">
        <x:f>IF(OR(F130="",I130="",K130&lt;&gt;"VERIFIED"),"",F130*I130*(1))</x:f>
      </x:c>
      <x:c r="P130" t="str">
        <x:f>IF(OR(F130="",I130="",K130&lt;&gt;"VERIFIED"),"",F130*I130*(1))</x:f>
      </x:c>
    </x:row>
    <x:row r="131">
      <x:c r="A131" t="str">
        <x:v>19 Other &amp; Contingency</x:v>
      </x:c>
      <x:c r="B131" t="str">
        <x:v>Misc</x:v>
      </x:c>
      <x:c r="C131" t="str">
        <x:v>Failed batch disposal and biohazard waste</x:v>
      </x:c>
      <x:c r="D131"/>
      <x:c r="E131"/>
      <x:c r="F131" t="n">
        <x:v>1</x:v>
      </x:c>
      <x:c r="G131" t="str">
        <x:v>service/test</x:v>
      </x:c>
      <x:c r="H131"/>
      <x:c r="I131"/>
      <x:c r="J131"/>
      <x:c r="K131" t="str">
        <x:v>UNQUOTED</x:v>
      </x:c>
      <x:c r="L131" t="str">
        <x:v>per start</x:v>
      </x:c>
      <x:c r="M131" s="19" t="str">
        <x:v>Waste processing and chain of custody</x:v>
      </x:c>
      <x:c r="N131" t="str">
        <x:f>IF(OR(F131="",I131="",K131&lt;&gt;"VERIFIED"),"",F131*I131*('02 Patient Scenarios'!G2))</x:f>
      </x:c>
      <x:c r="O131" t="str">
        <x:f>IF(OR(F131="",I131="",K131&lt;&gt;"VERIFIED"),"",F131*I131*('02 Patient Scenarios'!G3))</x:f>
      </x:c>
      <x:c r="P131" t="str">
        <x:f>IF(OR(F131="",I131="",K131&lt;&gt;"VERIFIED"),"",F131*I131*('02 Patient Scenarios'!G4))</x:f>
      </x:c>
    </x:row>
    <x:row r="132">
      <x:c r="A132" t="str">
        <x:v>19 Other &amp; Contingency</x:v>
      </x:c>
      <x:c r="B132" t="str">
        <x:v>Misc</x:v>
      </x:c>
      <x:c r="C132" t="str">
        <x:v>Dry shipper validation and return logistics</x:v>
      </x:c>
      <x:c r="D132"/>
      <x:c r="E132"/>
      <x:c r="F132" t="n">
        <x:v>1</x:v>
      </x:c>
      <x:c r="G132" t="str">
        <x:v>service/test</x:v>
      </x:c>
      <x:c r="H132"/>
      <x:c r="I132"/>
      <x:c r="J132"/>
      <x:c r="K132" t="str">
        <x:v>UNQUOTED</x:v>
      </x:c>
      <x:c r="L132" t="str">
        <x:v>per released</x:v>
      </x:c>
      <x:c r="M132" s="19" t="str">
        <x:v>Freight, qualification, insurance</x:v>
      </x:c>
      <x:c r="N132" t="str">
        <x:f>IF(OR(F132="",I132="",K132&lt;&gt;"VERIFIED"),"",F132*I132*('02 Patient Scenarios'!I2))</x:f>
      </x:c>
      <x:c r="O132" t="str">
        <x:f>IF(OR(F132="",I132="",K132&lt;&gt;"VERIFIED"),"",F132*I132*('02 Patient Scenarios'!I3))</x:f>
      </x:c>
      <x:c r="P132" t="str">
        <x:f>IF(OR(F132="",I132="",K132&lt;&gt;"VERIFIED"),"",F132*I132*('02 Patient Scenarios'!I4))</x:f>
      </x:c>
    </x:row>
    <x:row r="133">
      <x:c r="A133" t="str">
        <x:v>19 Other &amp; Contingency</x:v>
      </x:c>
      <x:c r="B133" t="str">
        <x:v>Misc</x:v>
      </x:c>
      <x:c r="C133" t="str">
        <x:v>Additional QC repeats / retesting allowance</x:v>
      </x:c>
      <x:c r="D133"/>
      <x:c r="E133"/>
      <x:c r="F133" t="n">
        <x:v>1</x:v>
      </x:c>
      <x:c r="G133" t="str">
        <x:v>service/test</x:v>
      </x:c>
      <x:c r="H133"/>
      <x:c r="I133"/>
      <x:c r="J133"/>
      <x:c r="K133" t="str">
        <x:v>UNQUOTED</x:v>
      </x:c>
      <x:c r="L133" t="str">
        <x:v>per start</x:v>
      </x:c>
      <x:c r="M133" s="19" t="str">
        <x:v>Triggered only where approved; avoid routine duplicate</x:v>
      </x:c>
      <x:c r="N133" t="str">
        <x:f>IF(OR(F133="",I133="",K133&lt;&gt;"VERIFIED"),"",F133*I133*('02 Patient Scenarios'!G2))</x:f>
      </x:c>
      <x:c r="O133" t="str">
        <x:f>IF(OR(F133="",I133="",K133&lt;&gt;"VERIFIED"),"",F133*I133*('02 Patient Scenarios'!G3))</x:f>
      </x:c>
      <x:c r="P133" t="str">
        <x:f>IF(OR(F133="",I133="",K133&lt;&gt;"VERIFIED"),"",F133*I133*('02 Patient Scenarios'!G4))</x:f>
      </x:c>
    </x:row>
    <x:row r="134">
      <x:c r="A134" t="str">
        <x:v>19 Other &amp; Contingency</x:v>
      </x:c>
      <x:c r="B134" t="str">
        <x:v>Misc</x:v>
      </x:c>
      <x:c r="C134" t="str">
        <x:v>Long-term sample and document storage</x:v>
      </x:c>
      <x:c r="D134"/>
      <x:c r="E134"/>
      <x:c r="F134" t="n">
        <x:v>1</x:v>
      </x:c>
      <x:c r="G134" t="str">
        <x:v>service/test</x:v>
      </x:c>
      <x:c r="H134"/>
      <x:c r="I134"/>
      <x:c r="J134"/>
      <x:c r="K134" t="str">
        <x:v>UNQUOTED</x:v>
      </x:c>
      <x:c r="L134" t="str">
        <x:v>per program</x:v>
      </x:c>
      <x:c r="M134" s="19" t="str">
        <x:v>Retain samples and records per protocol</x:v>
      </x:c>
      <x:c r="N134" t="str">
        <x:f>IF(OR(F134="",I134="",K134&lt;&gt;"VERIFIED"),"",F134*I134*(1))</x:f>
      </x:c>
      <x:c r="O134" t="str">
        <x:f>IF(OR(F134="",I134="",K134&lt;&gt;"VERIFIED"),"",F134*I134*(1))</x:f>
      </x:c>
      <x:c r="P134" t="str">
        <x:f>IF(OR(F134="",I134="",K134&lt;&gt;"VERIFIED"),"",F134*I134*(1))</x:f>
      </x:c>
    </x:row>
    <x:row r="135">
      <x:c r="A135" t="str">
        <x:v>19 Other &amp; Contingency</x:v>
      </x:c>
      <x:c r="B135" t="str">
        <x:v>Misc</x:v>
      </x:c>
      <x:c r="C135" t="str">
        <x:v>Patient travel / accommodation reimbursement</x:v>
      </x:c>
      <x:c r="D135"/>
      <x:c r="E135"/>
      <x:c r="F135" t="n">
        <x:v>1</x:v>
      </x:c>
      <x:c r="G135" t="str">
        <x:v>service/test</x:v>
      </x:c>
      <x:c r="H135"/>
      <x:c r="I135"/>
      <x:c r="J135"/>
      <x:c r="K135" t="str">
        <x:v>UNQUOTED</x:v>
      </x:c>
      <x:c r="L135" t="str">
        <x:v>per infused</x:v>
      </x:c>
      <x:c r="M135" s="19" t="str">
        <x:v>If sponsor covers</x:v>
      </x:c>
      <x:c r="N135" t="str">
        <x:f>IF(OR(F135="",I135="",K135&lt;&gt;"VERIFIED"),"",F135*I135*('02 Patient Scenarios'!K2))</x:f>
      </x:c>
      <x:c r="O135" t="str">
        <x:f>IF(OR(F135="",I135="",K135&lt;&gt;"VERIFIED"),"",F135*I135*('02 Patient Scenarios'!K3))</x:f>
      </x:c>
      <x:c r="P135" t="str">
        <x:f>IF(OR(F135="",I135="",K135&lt;&gt;"VERIFIED"),"",F135*I135*('02 Patient Scenarios'!K4))</x:f>
      </x:c>
    </x:row>
    <x:row r="136">
      <x:c r="A136" t="str">
        <x:v>19 Other &amp; Contingency</x:v>
      </x:c>
      <x:c r="B136" t="str">
        <x:v>Misc</x:v>
      </x:c>
      <x:c r="C136" t="str">
        <x:v>Translation, IT, software, access and licensing</x:v>
      </x:c>
      <x:c r="D136"/>
      <x:c r="E136"/>
      <x:c r="F136" t="n">
        <x:v>1</x:v>
      </x:c>
      <x:c r="G136" t="str">
        <x:v>service/test</x:v>
      </x:c>
      <x:c r="H136"/>
      <x:c r="I136"/>
      <x:c r="J136"/>
      <x:c r="K136" t="str">
        <x:v>UNQUOTED</x:v>
      </x:c>
      <x:c r="L136" t="str">
        <x:v>per program</x:v>
      </x:c>
      <x:c r="M136" s="19" t="str">
        <x:v>Electronic systems and cybersecurity</x:v>
      </x:c>
      <x:c r="N136" t="str">
        <x:f>IF(OR(F136="",I136="",K136&lt;&gt;"VERIFIED"),"",F136*I136*(1))</x:f>
      </x:c>
      <x:c r="O136" t="str">
        <x:f>IF(OR(F136="",I136="",K136&lt;&gt;"VERIFIED"),"",F136*I136*(1))</x:f>
      </x:c>
      <x:c r="P136" t="str">
        <x:f>IF(OR(F136="",I136="",K136&lt;&gt;"VERIFIED"),"",F136*I136*(1))</x:f>
      </x:c>
    </x:row>
    <x:row r="137">
      <x:c r="A137" t="str">
        <x:v>19 Other &amp; Contingency</x:v>
      </x:c>
      <x:c r="B137" t="str">
        <x:v>Misc</x:v>
      </x:c>
      <x:c r="C137" t="str">
        <x:v>Contingency reserve (separate percentage)</x:v>
      </x:c>
      <x:c r="D137"/>
      <x:c r="E137"/>
      <x:c r="F137" t="n">
        <x:v>1</x:v>
      </x:c>
      <x:c r="G137" t="str">
        <x:v>service/test</x:v>
      </x:c>
      <x:c r="H137"/>
      <x:c r="I137"/>
      <x:c r="J137"/>
      <x:c r="K137" t="str">
        <x:v>UNQUOTED</x:v>
      </x:c>
      <x:c r="L137" t="str">
        <x:v>per program</x:v>
      </x:c>
      <x:c r="M137" s="19" t="str">
        <x:v>Do not treat as vendor quote; enter only if not applied elsewhere</x:v>
      </x:c>
      <x:c r="N137" t="str">
        <x:f>IF(OR(F137="",I137="",K137&lt;&gt;"VERIFIED"),"",F137*I137*(1))</x:f>
      </x:c>
      <x:c r="O137" t="str">
        <x:f>IF(OR(F137="",I137="",K137&lt;&gt;"VERIFIED"),"",F137*I137*(1))</x:f>
      </x:c>
      <x:c r="P137" t="str">
        <x:f>IF(OR(F137="",I137="",K137&lt;&gt;"VERIFIED"),"",F137*I137*(1))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45" hidden="0" customWidth="1"/>
    <x:col min="3" max="3" width="24" hidden="0" customWidth="1"/>
    <x:col min="4" max="4" width="63" hidden="0" customWidth="1"/>
  </x:cols>
  <x:sheetData>
    <x:row r="1" ht="30" customHeight="1">
      <x:c r="A1" s="4" t="str">
        <x:v>Stage</x:v>
      </x:c>
      <x:c r="B1" s="4" t="str">
        <x:v>Purpose</x:v>
      </x:c>
      <x:c r="C1" s="4" t="str">
        <x:v>Primary driver</x:v>
      </x:c>
      <x:c r="D1" s="4" t="str">
        <x:v>Remarks</x:v>
      </x:c>
    </x:row>
    <x:row r="2">
      <x:c r="A2" t="str">
        <x:v>01 Screening</x:v>
      </x:c>
      <x:c r="B2" t="str">
        <x:v>Eligibility + infectious-disease screening</x:v>
      </x:c>
      <x:c r="C2" t="str">
        <x:v>per screened</x:v>
      </x:c>
      <x:c r="D2" t="str">
        <x:v>Use 03 Timeline BOM for SKU, lot, quote and pricing</x:v>
      </x:c>
    </x:row>
    <x:row r="3">
      <x:c r="A3" t="str">
        <x:v>02 Leukapheresis</x:v>
      </x:c>
      <x:c r="B3" t="str">
        <x:v>Collection</x:v>
      </x:c>
      <x:c r="C3" t="str">
        <x:v>per collection</x:v>
      </x:c>
      <x:c r="D3" t="str">
        <x:v>Use 03 Timeline BOM for SKU, lot, quote and pricing</x:v>
      </x:c>
    </x:row>
    <x:row r="4">
      <x:c r="A4" t="str">
        <x:v>03 PBMC Isolation</x:v>
      </x:c>
      <x:c r="B4" t="str">
        <x:v>Sepax isolation</x:v>
      </x:c>
      <x:c r="C4" t="str">
        <x:v>per collection</x:v>
      </x:c>
      <x:c r="D4" t="str">
        <x:v>Use 03 Timeline BOM for SKU, lot, quote and pricing</x:v>
      </x:c>
    </x:row>
    <x:row r="5">
      <x:c r="A5" t="str">
        <x:v>04 Incoming QC</x:v>
      </x:c>
      <x:c r="B5" t="str">
        <x:v>TBNK + Trucount</x:v>
      </x:c>
      <x:c r="C5" t="str">
        <x:v>per collection</x:v>
      </x:c>
      <x:c r="D5" t="str">
        <x:v>Use 03 Timeline BOM for SKU, lot, quote and pricing</x:v>
      </x:c>
    </x:row>
    <x:row r="6">
      <x:c r="A6" t="str">
        <x:v>05 CAR-T Manufacturing</x:v>
      </x:c>
      <x:c r="B6" t="str">
        <x:v>Prodigy transduction and expansion</x:v>
      </x:c>
      <x:c r="C6" t="str">
        <x:v>per start</x:v>
      </x:c>
      <x:c r="D6" t="str">
        <x:v>Use 03 Timeline BOM for SKU, lot, quote and pricing</x:v>
      </x:c>
    </x:row>
    <x:row r="7">
      <x:c r="A7" t="str">
        <x:v>06 In-Process QC</x:v>
      </x:c>
      <x:c r="B7" t="str">
        <x:v>Day 3 and Day 7/13</x:v>
      </x:c>
      <x:c r="C7" t="str">
        <x:v>per start</x:v>
      </x:c>
      <x:c r="D7" t="str">
        <x:v>Use 03 Timeline BOM for SKU, lot, quote and pricing</x:v>
      </x:c>
    </x:row>
    <x:row r="8">
      <x:c r="A8" t="str">
        <x:v>07 Harvest &amp; Cryo</x:v>
      </x:c>
      <x:c r="B8" t="str">
        <x:v>Final DP / cryopreservation</x:v>
      </x:c>
      <x:c r="C8" t="str">
        <x:v>per completed</x:v>
      </x:c>
      <x:c r="D8" t="str">
        <x:v>Use 03 Timeline BOM for SKU, lot, quote and pricing</x:v>
      </x:c>
    </x:row>
    <x:row r="9">
      <x:c r="A9" t="str">
        <x:v>08 Shipping</x:v>
      </x:c>
      <x:c r="B9" t="str">
        <x:v>Dry shipper</x:v>
      </x:c>
      <x:c r="C9" t="str">
        <x:v>per released</x:v>
      </x:c>
      <x:c r="D9" t="str">
        <x:v>Use 03 Timeline BOM for SKU, lot, quote and pricing</x:v>
      </x:c>
    </x:row>
    <x:row r="10">
      <x:c r="A10" t="str">
        <x:v>09 Release QC</x:v>
      </x:c>
      <x:c r="B10" t="str">
        <x:v>Product release QC plus separate infection-screening evidence review</x:v>
      </x:c>
      <x:c r="C10" t="str">
        <x:v>per completed</x:v>
      </x:c>
      <x:c r="D10" t="str">
        <x:v>Use 03 Timeline BOM for SKU, lot, quote and pricing</x:v>
      </x:c>
    </x:row>
    <x:row r="11">
      <x:c r="A11" t="str">
        <x:v>10 Post-Release QC</x:v>
      </x:c>
      <x:c r="B11" t="str">
        <x:v>Results may complete after release</x:v>
      </x:c>
      <x:c r="C11" t="str">
        <x:v>per released</x:v>
      </x:c>
      <x:c r="D11" t="str">
        <x:v>Use 03 Timeline BOM for SKU, lot, quote and pricing</x:v>
      </x:c>
    </x:row>
    <x:row r="12">
      <x:c r="A12" t="str">
        <x:v>11 Stability</x:v>
      </x:c>
      <x:c r="B12" t="str">
        <x:v>Program stability</x:v>
      </x:c>
      <x:c r="C12" t="str">
        <x:v>per released</x:v>
      </x:c>
      <x:c r="D12" t="str">
        <x:v>Use 03 Timeline BOM for SKU, lot, quote and pricing</x:v>
      </x:c>
    </x:row>
    <x:row r="13">
      <x:c r="A13" t="str">
        <x:v>12 Infusion</x:v>
      </x:c>
      <x:c r="B13" t="str">
        <x:v>Hospital clinical delivery</x:v>
      </x:c>
      <x:c r="C13" t="str">
        <x:v>per lymphodepleted</x:v>
      </x:c>
      <x:c r="D13" t="str">
        <x:v>Use 03 Timeline BOM for SKU, lot, quote and pricing</x:v>
      </x:c>
    </x:row>
    <x:row r="14">
      <x:c r="A14" t="str">
        <x:v>13 Follow-up</x:v>
      </x:c>
      <x:c r="B14" t="str">
        <x:v>Clinical follow-up</x:v>
      </x:c>
      <x:c r="C14" t="str">
        <x:v>per infused</x:v>
      </x:c>
      <x:c r="D14" t="str">
        <x:v>Use 03 Timeline BOM for SKU, lot, quote and pricing</x:v>
      </x:c>
    </x:row>
    <x:row r="15">
      <x:c r="A15" t="str">
        <x:v>00 Vector CMC</x:v>
      </x:c>
      <x:c r="B15" t="str">
        <x:v>Single shared vector lot</x:v>
      </x:c>
      <x:c r="C15" t="str">
        <x:v>per program</x:v>
      </x:c>
      <x:c r="D15" t="str">
        <x:v>Use 03 Timeline BOM for SKU, lot, quote and pricing</x:v>
      </x:c>
    </x:row>
    <x:row r="16">
      <x:c r="A16" t="str">
        <x:v>14 Separate Overhead</x:v>
      </x:c>
      <x:c r="B16" t="str">
        <x:v>Staff / grade 2 GMP / maintenance</x:v>
      </x:c>
      <x:c r="C16" t="str">
        <x:v>per start</x:v>
      </x:c>
      <x:c r="D16" t="str">
        <x:v>Use 03 Timeline BOM for SKU, lot, quote and pricing</x:v>
      </x:c>
    </x:row>
    <x:row r="17">
      <x:c r="A17" t="str">
        <x:v>15 Clinical Professionals</x:v>
      </x:c>
      <x:c r="B17" t="str">
        <x:v>Doctors, nurses, pharmacist</x:v>
      </x:c>
      <x:c r="C17" t="str">
        <x:v>mixed</x:v>
      </x:c>
      <x:c r="D17" t="str">
        <x:v>Clinical professional fees separate from facility costs</x:v>
      </x:c>
    </x:row>
    <x:row r="18">
      <x:c r="A18" t="str">
        <x:v>16 Administration</x:v>
      </x:c>
      <x:c r="B18" t="str">
        <x:v>Sponsor, regulatory, legal</x:v>
      </x:c>
      <x:c r="C18" t="str">
        <x:v>mixed</x:v>
      </x:c>
      <x:c r="D18" t="str">
        <x:v>Administrative and clinical trial operations</x:v>
      </x:c>
    </x:row>
    <x:row r="19">
      <x:c r="A19" t="str">
        <x:v>17 Training</x:v>
      </x:c>
      <x:c r="B19" t="str">
        <x:v>GMP, GCP, vendor</x:v>
      </x:c>
      <x:c r="C19" t="str">
        <x:v>per program</x:v>
      </x:c>
      <x:c r="D19" t="str">
        <x:v>Initial and recurring qualification</x:v>
      </x:c>
    </x:row>
    <x:row r="20">
      <x:c r="A20" t="str">
        <x:v>18 Facility &amp; Equipment</x:v>
      </x:c>
      <x:c r="B20" t="str">
        <x:v>Cleanroom and maintenance</x:v>
      </x:c>
      <x:c r="C20" t="str">
        <x:v>mixed</x:v>
      </x:c>
      <x:c r="D20" t="str">
        <x:v>Confirm actual cleanroom grade</x:v>
      </x:c>
    </x:row>
    <x:row r="21">
      <x:c r="A21" t="str">
        <x:v>19 Other &amp; Contingency</x:v>
      </x:c>
      <x:c r="B21" t="str">
        <x:v>Waste, OOS, logistics</x:v>
      </x:c>
      <x:c r="C21" t="str">
        <x:v>mixed</x:v>
      </x:c>
      <x:c r="D21" t="str">
        <x:v>Avoid double-counting contingency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40" hidden="0" customWidth="1"/>
    <x:col min="3" max="3" width="90" hidden="0" customWidth="1"/>
  </x:cols>
  <x:sheetData>
    <x:row r="1" ht="30" customHeight="1">
      <x:c r="A1" s="4" t="str">
        <x:v>Release-associated infectious test</x:v>
      </x:c>
      <x:c r="B1" s="4" t="str">
        <x:v>Budget location</x:v>
      </x:c>
      <x:c r="C1" s="4" t="str">
        <x:v>Regulatory classification</x:v>
      </x:c>
    </x:row>
    <x:row r="2">
      <x:c r="A2" t="str">
        <x:v>Anti-HIV-1/2</x:v>
      </x:c>
      <x:c r="B2" t="str">
        <x:v>09 Release QC</x:v>
      </x:c>
      <x:c r="C2" t="str">
        <x:v>Patient/donor screening evidence; NOT proof of final product sterility; QA review required</x:v>
      </x:c>
    </x:row>
    <x:row r="3">
      <x:c r="A3" t="str">
        <x:v>HBsAg</x:v>
      </x:c>
      <x:c r="B3" t="str">
        <x:v>09 Release QC</x:v>
      </x:c>
      <x:c r="C3" t="str">
        <x:v>Patient/donor screening evidence; NOT proof of final product sterility; QA review required</x:v>
      </x:c>
    </x:row>
    <x:row r="4">
      <x:c r="A4" t="str">
        <x:v>Anti-HBc</x:v>
      </x:c>
      <x:c r="B4" t="str">
        <x:v>09 Release QC</x:v>
      </x:c>
      <x:c r="C4" t="str">
        <x:v>Patient/donor screening evidence; NOT proof of final product sterility; QA review required</x:v>
      </x:c>
    </x:row>
    <x:row r="5">
      <x:c r="A5" t="str">
        <x:v>Anti-HCV</x:v>
      </x:c>
      <x:c r="B5" t="str">
        <x:v>09 Release QC</x:v>
      </x:c>
      <x:c r="C5" t="str">
        <x:v>Patient/donor screening evidence; NOT proof of final product sterility; QA review required</x:v>
      </x:c>
    </x:row>
    <x:row r="6">
      <x:c r="A6" t="str">
        <x:v>Syphilis antibodies IgM/IgG</x:v>
      </x:c>
      <x:c r="B6" t="str">
        <x:v>09 Release QC</x:v>
      </x:c>
      <x:c r="C6" t="str">
        <x:v>Patient/donor screening evidence; NOT proof of final product sterility; QA review required</x:v>
      </x:c>
    </x:row>
    <x:row r="7">
      <x:c r="A7" t="str">
        <x:v>SARS-CoV-2</x:v>
      </x:c>
      <x:c r="B7" t="str">
        <x:v>09 Release QC</x:v>
      </x:c>
      <x:c r="C7" t="str">
        <x:v>Patient/donor screening evidence; NOT proof of final product sterility; QA review required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83" hidden="0" customWidth="1"/>
    <x:col min="3" max="3" width="64" hidden="0" customWidth="1"/>
  </x:cols>
  <x:sheetData>
    <x:row r="1" ht="30" customHeight="1">
      <x:c r="A1" s="4" t="str">
        <x:v>Input</x:v>
      </x:c>
      <x:c r="B1" s="4" t="str">
        <x:v>Rule</x:v>
      </x:c>
      <x:c r="C1" s="4" t="str">
        <x:v>Example</x:v>
      </x:c>
    </x:row>
    <x:row r="2">
      <x:c r="A2" t="str">
        <x:v>Unit price SEK</x:v>
      </x:c>
      <x:c r="B2" t="str">
        <x:v>Only verified vendor quotation; never fill 0 to mean unknown</x:v>
      </x:c>
      <x:c r="C2" t="str">
        <x:v>Price per pack / vial / test</x:v>
      </x:c>
    </x:row>
    <x:row r="3">
      <x:c r="A3" t="str">
        <x:v>Qty per event</x:v>
      </x:c>
      <x:c r="B3" t="str">
        <x:v>Convert original SOP pack count into actual consumable usage</x:v>
      </x:c>
      <x:c r="C3" t="str">
        <x:v>M1 2-3 packs: choose confirmed qty</x:v>
      </x:c>
    </x:row>
    <x:row r="4">
      <x:c r="A4" t="str">
        <x:v>Pack size</x:v>
      </x:c>
      <x:c r="B4" t="str">
        <x:v>Document number of usable units per pack; normalize pricing</x:v>
      </x:c>
      <x:c r="C4" t="str">
        <x:v>Do not multiply pack price by individual-unit count</x:v>
      </x:c>
    </x:row>
    <x:row r="5">
      <x:c r="A5" t="str">
        <x:v>Lot / batch</x:v>
      </x:c>
      <x:c r="B5" t="str">
        <x:v>Record lot ID and expiry in comments / procurement records</x:v>
      </x:c>
      <x:c r="C5" t="str">
        <x:v>One vector construct and one planned vector lot</x:v>
      </x:c>
    </x:row>
    <x:row r="6">
      <x:c r="A6" t="str">
        <x:v>Overhead</x:v>
      </x:c>
      <x:c r="B6" t="str">
        <x:v>Separate labor, Grade 2 lab, and maintenance from materials</x:v>
      </x:c>
      <x:c r="C6" t="str">
        <x:v>Exclude when covered by all-inclusive CDMO fee</x:v>
      </x:c>
    </x:row>
    <x:row r="7">
      <x:c r="A7" t="str">
        <x:v>Release vs post-release</x:v>
      </x:c>
      <x:c r="B7" t="str">
        <x:v>Different tests and payment triggers; keep separate</x:v>
      </x:c>
      <x:c r="C7" t="str">
        <x:v>Ph Eur sterility may finish post release</x:v>
      </x:c>
    </x:row>
    <x:row r="8">
      <x:c r="A8" t="str">
        <x:v>Quote status</x:v>
      </x:c>
      <x:c r="B8" t="str">
        <x:v>VERIFIED only after vendor, date, SKU, quantity, and price checked</x:v>
      </x:c>
      <x:c r="C8" t="str">
        <x:v>UNQUOTED remains blank</x:v>
      </x:c>
    </x:row>
    <x:row r="9">
      <x:c r="A9" t="str">
        <x:v>Screening &amp; manufacturing success</x:v>
      </x:c>
      <x:c r="B9" t="str">
        <x:v>Scenario probabilities are not historical estimates</x:v>
      </x:c>
      <x:c r="C9" t="str">
        <x:v>50% / 70% / 90% independently</x:v>
      </x:c>
    </x:row>
    <x:row r="10">
      <x:c r="A10" t="str">
        <x:v>Capacity warning</x:v>
      </x:c>
      <x:c r="B10" t="str">
        <x:v>Vector single-lot sufficiency is not established</x:v>
      </x:c>
      <x:c r="C10" t="str">
        <x:v>Require titer, volume, usage, loss, reserve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5" hidden="0" customWidth="1"/>
    <x:col min="3" max="3" width="25" hidden="0" customWidth="1"/>
    <x:col min="4" max="4" width="25" hidden="0" customWidth="1"/>
    <x:col min="5" max="5" width="76" hidden="0" customWidth="1"/>
  </x:cols>
  <x:sheetData>
    <x:row r="1" ht="30" customHeight="1">
      <x:c r="A1" s="4" t="str">
        <x:v>Metric / stage</x:v>
      </x:c>
      <x:c r="B1" s="4" t="str">
        <x:v>50% scenario SEK</x:v>
      </x:c>
      <x:c r="C1" s="4" t="str">
        <x:v>70% scenario SEK</x:v>
      </x:c>
      <x:c r="D1" s="4" t="str">
        <x:v>90% scenario SEK</x:v>
      </x:c>
      <x:c r="E1" s="4" t="str">
        <x:v>Notes</x:v>
      </x:c>
    </x:row>
    <x:row r="2">
      <x:c r="A2" t="str">
        <x:v>Quoted partial subtotal</x:v>
      </x:c>
      <x:c r="B2" t="n">
        <x:f>SUM('03 Timeline BOM'!N2:N104)</x:f>
        <x:v>0</x:v>
      </x:c>
      <x:c r="C2" t="n">
        <x:f>SUM('03 Timeline BOM'!O2:O104)</x:f>
        <x:v>0</x:v>
      </x:c>
      <x:c r="D2" t="n">
        <x:f>SUM('03 Timeline BOM'!P2:P104)</x:f>
        <x:v>0</x:v>
      </x:c>
      <x:c r="E2" t="str">
        <x:v>Only VERIFIED lines included; NOT a full budget</x:v>
      </x:c>
    </x:row>
    <x:row r="3">
      <x:c r="A3" t="str">
        <x:v>Missing / unverified lines</x:v>
      </x:c>
      <x:c r="B3" t="n">
        <x:v>268</x:v>
      </x:c>
      <x:c r="C3" t="n">
        <x:v>268</x:v>
      </x:c>
      <x:c r="D3" t="n">
        <x:v>268</x:v>
      </x:c>
      <x:c r="E3" t="str">
        <x:v>Unquoted line items, including release-associated infection review and additional overhead; check source pricing</x:v>
      </x:c>
    </x:row>
    <x:row r="4">
      <x:c r="A4" t="str">
        <x:v>Cost completeness</x:v>
      </x:c>
      <x:c r="B4" s="8" t="n">
        <x:f>COUNT('03 Timeline BOM'!N2:N104)/103</x:f>
        <x:v>0</x:v>
      </x:c>
      <x:c r="C4" s="8" t="n">
        <x:f>COUNT('03 Timeline BOM'!O2:O104)/103</x:f>
        <x:v>0</x:v>
      </x:c>
      <x:c r="D4" s="8" t="n">
        <x:f>COUNT('03 Timeline BOM'!P2:P104)/103</x:f>
        <x:v>0</x:v>
      </x:c>
      <x:c r="E4" t="str">
        <x:v>Percentage of rows fully quoted</x:v>
      </x:c>
    </x:row>
    <x:row r="5">
      <x:c r="A5" t="str">
        <x:v>Vector lots planned</x:v>
      </x:c>
      <x:c r="B5" t="n">
        <x:v>1</x:v>
      </x:c>
      <x:c r="C5" t="n">
        <x:v>1</x:v>
      </x:c>
      <x:c r="D5" t="n">
        <x:v>1</x:v>
      </x:c>
      <x:c r="E5" t="str">
        <x:v>Fixed policy; capacity unverified</x:v>
      </x:c>
    </x:row>
    <x:row r="6">
      <x:c r="A6" t="str">
        <x:v>Target infused</x:v>
      </x:c>
      <x:c r="B6" t="n">
        <x:v>12</x:v>
      </x:c>
      <x:c r="C6" t="n">
        <x:v>12</x:v>
      </x:c>
      <x:c r="D6" t="n">
        <x:v>12</x:v>
      </x:c>
      <x:c r="E6" t="str">
        <x:v>Fixed</x:v>
      </x:c>
    </x:row>
    <x:row r="7">
      <x:c r="A7" t="str">
        <x:v>Total before contingency</x:v>
      </x:c>
      <x:c r="B7" t="str">
        <x:f>IF(B4&lt;1,"",B2)</x:f>
      </x:c>
      <x:c r="C7" t="str">
        <x:f>IF(C4&lt;1,"",C2)</x:f>
      </x:c>
      <x:c r="D7" t="str">
        <x:f>IF(D4&lt;1,"",D2)</x:f>
      </x:c>
      <x:c r="E7" t="str">
        <x:v>Blank until 100% quoted</x:v>
      </x:c>
    </x:row>
    <x:row r="8">
      <x:c r="A8" t="str">
        <x:v>Contingency rate</x:v>
      </x:c>
      <x:c r="B8" s="8" t="n">
        <x:f>'01 Assumptions'!B11</x:f>
        <x:v>0.1</x:v>
      </x:c>
      <x:c r="C8" s="8" t="n">
        <x:f>'01 Assumptions'!C11</x:f>
        <x:v>0.1</x:v>
      </x:c>
      <x:c r="D8" s="8" t="n">
        <x:f>'01 Assumptions'!D11</x:f>
        <x:v>0.1</x:v>
      </x:c>
      <x:c r="E8" t="str">
        <x:v>Illustrative</x:v>
      </x:c>
    </x:row>
    <x:row r="9">
      <x:c r="A9" t="str">
        <x:v>Approved total budget</x:v>
      </x:c>
      <x:c r="B9" t="str">
        <x:f>IF(OR(B7="",B11&lt;&gt;"VERIFIED"),"",B7*(1+B8))</x:f>
      </x:c>
      <x:c r="C9" t="str">
        <x:f>IF(OR(C7="",C11&lt;&gt;"VERIFIED"),"",C7*(1+C8))</x:f>
      </x:c>
      <x:c r="D9" t="str">
        <x:f>IF(OR(D7="",D11&lt;&gt;"VERIFIED"),"",D7*(1+D8))</x:f>
      </x:c>
      <x:c r="E9" t="str">
        <x:v>Blank until fully quoted AND vector capacity confirmed</x:v>
      </x:c>
    </x:row>
    <x:row r="10">
      <x:c r="A10" t="str">
        <x:v>Cost per target infused</x:v>
      </x:c>
      <x:c r="B10" t="str">
        <x:f>IF(B9="","",B9/B6)</x:f>
      </x:c>
      <x:c r="C10" t="str">
        <x:f>IF(C9="","",C9/C6)</x:f>
      </x:c>
      <x:c r="D10" t="str">
        <x:f>IF(D9="","",D9/D6)</x:f>
      </x:c>
      <x:c r="E10" t="str">
        <x:v>Blank until approved total</x:v>
      </x:c>
    </x:row>
    <x:row r="11">
      <x:c r="A11" t="str">
        <x:v>Vector capacity status</x:v>
      </x:c>
      <x:c r="B11" t="str">
        <x:v>UNVERIFIED</x:v>
      </x:c>
      <x:c r="C11" t="str">
        <x:v>UNVERIFIED</x:v>
      </x:c>
      <x:c r="D11" t="str">
        <x:v>UNVERIFIED</x:v>
      </x:c>
      <x:c r="E11" t="str">
        <x:v>Requires CDMO confirmation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91" hidden="0" customWidth="1"/>
    <x:col min="4" max="4" width="20" hidden="0" customWidth="1"/>
    <x:col min="5" max="5" width="18" hidden="0" customWidth="1"/>
  </x:cols>
  <x:sheetData>
    <x:row r="1" ht="30" customHeight="1">
      <x:c r="A1" s="4" t="str">
        <x:v>ID</x:v>
      </x:c>
      <x:c r="B1" s="4" t="str">
        <x:v>Severity</x:v>
      </x:c>
      <x:c r="C1" s="4" t="str">
        <x:v>Finding / action</x:v>
      </x:c>
      <x:c r="D1" s="4" t="str">
        <x:v>Owner</x:v>
      </x:c>
      <x:c r="E1" s="4" t="str">
        <x:v>Status</x:v>
      </x:c>
    </x:row>
    <x:row r="2">
      <x:c r="A2" t="n">
        <x:v>1</x:v>
      </x:c>
      <x:c r="B2" t="str">
        <x:v>P0</x:v>
      </x:c>
      <x:c r="C2" t="str">
        <x:v>Verify one vector lot capacity and release likelihood</x:v>
      </x:c>
      <x:c r="D2" t="str">
        <x:v>TBD</x:v>
      </x:c>
      <x:c r="E2" t="str">
        <x:v>OPEN</x:v>
      </x:c>
    </x:row>
    <x:row r="3">
      <x:c r="A3" t="n">
        <x:v>2</x:v>
      </x:c>
      <x:c r="B3" t="str">
        <x:v>P0</x:v>
      </x:c>
      <x:c r="C3" t="str">
        <x:v>Confirm 50/70/90 screening/manufacturing rate definitions</x:v>
      </x:c>
      <x:c r="D3" t="str">
        <x:v>TBD</x:v>
      </x:c>
      <x:c r="E3" t="str">
        <x:v>OPEN</x:v>
      </x:c>
    </x:row>
    <x:row r="4">
      <x:c r="A4" t="n">
        <x:v>3</x:v>
      </x:c>
      <x:c r="B4" t="str">
        <x:v>P0</x:v>
      </x:c>
      <x:c r="C4" t="str">
        <x:v>Confirm whether manufacturing success includes QC release</x:v>
      </x:c>
      <x:c r="D4" t="str">
        <x:v>TBD</x:v>
      </x:c>
      <x:c r="E4" t="str">
        <x:v>OPEN</x:v>
      </x:c>
    </x:row>
    <x:row r="5">
      <x:c r="A5" t="n">
        <x:v>4</x:v>
      </x:c>
      <x:c r="B5" t="str">
        <x:v>P0</x:v>
      </x:c>
      <x:c r="C5" t="str">
        <x:v>Obtain price evidence for every line; no zero-as-missing</x:v>
      </x:c>
      <x:c r="D5" t="str">
        <x:v>TBD</x:v>
      </x:c>
      <x:c r="E5" t="str">
        <x:v>OPEN</x:v>
      </x:c>
    </x:row>
    <x:row r="6">
      <x:c r="A6" t="n">
        <x:v>5</x:v>
      </x:c>
      <x:c r="B6" t="str">
        <x:v>P1</x:v>
      </x:c>
      <x:c r="C6" t="str">
        <x:v>Check package units versus per-event consumption</x:v>
      </x:c>
      <x:c r="D6" t="str">
        <x:v>TBD</x:v>
      </x:c>
      <x:c r="E6" t="str">
        <x:v>OPEN</x:v>
      </x:c>
    </x:row>
    <x:row r="7">
      <x:c r="A7" t="n">
        <x:v>6</x:v>
      </x:c>
      <x:c r="B7" t="str">
        <x:v>P1</x:v>
      </x:c>
      <x:c r="C7" t="str">
        <x:v>Confirm whether all-inclusive manufacturing fee includes labor and QC</x:v>
      </x:c>
      <x:c r="D7" t="str">
        <x:v>TBD</x:v>
      </x:c>
      <x:c r="E7" t="str">
        <x:v>OPEN</x:v>
      </x:c>
    </x:row>
    <x:row r="8">
      <x:c r="A8" t="n">
        <x:v>7</x:v>
      </x:c>
      <x:c r="B8" t="str">
        <x:v>P1</x:v>
      </x:c>
      <x:c r="C8" t="str">
        <x:v>Confirm CDMO vector costs separated from CAR-T use</x:v>
      </x:c>
      <x:c r="D8" t="str">
        <x:v>TBD</x:v>
      </x:c>
      <x:c r="E8" t="str">
        <x:v>OPEN</x:v>
      </x:c>
    </x:row>
    <x:row r="9">
      <x:c r="A9" t="n">
        <x:v>8</x:v>
      </x:c>
      <x:c r="B9" t="str">
        <x:v>P1</x:v>
      </x:c>
      <x:c r="C9" t="str">
        <x:v>Confirm grade 2 cleanroom maintenance and occupancy</x:v>
      </x:c>
      <x:c r="D9" t="str">
        <x:v>TBD</x:v>
      </x:c>
      <x:c r="E9" t="str">
        <x:v>OPEN</x:v>
      </x:c>
    </x:row>
    <x:row r="10">
      <x:c r="A10" t="n">
        <x:v>9</x:v>
      </x:c>
      <x:c r="B10" t="str">
        <x:v>P1</x:v>
      </x:c>
      <x:c r="C10" t="str">
        <x:v>Confirm SOP stage, day, sampling volume, test frequency</x:v>
      </x:c>
      <x:c r="D10" t="str">
        <x:v>TBD</x:v>
      </x:c>
      <x:c r="E10" t="str">
        <x:v>OPEN</x:v>
      </x:c>
    </x:row>
    <x:row r="11">
      <x:c r="A11" t="n">
        <x:v>10</x:v>
      </x:c>
      <x:c r="B11" t="str">
        <x:v>P1</x:v>
      </x:c>
      <x:c r="C11" t="str">
        <x:v>Confirm outsourced sterility / mycoplasma / VCN billing</x:v>
      </x:c>
      <x:c r="D11" t="str">
        <x:v>TBD</x:v>
      </x:c>
      <x:c r="E11" t="str">
        <x:v>OPEN</x:v>
      </x:c>
    </x:row>
    <x:row r="12">
      <x:c r="A12" t="n">
        <x:v>11</x:v>
      </x:c>
      <x:c r="B12" t="str">
        <x:v>P1</x:v>
      </x:c>
      <x:c r="C12" t="str">
        <x:v>Confirm post-release test costs and responsibility</x:v>
      </x:c>
      <x:c r="D12" t="str">
        <x:v>TBD</x:v>
      </x:c>
      <x:c r="E12" t="str">
        <x:v>OPEN</x:v>
      </x:c>
    </x:row>
    <x:row r="13">
      <x:c r="A13" t="n">
        <x:v>12</x:v>
      </x:c>
      <x:c r="B13" t="str">
        <x:v>P1</x:v>
      </x:c>
      <x:c r="C13" t="str">
        <x:v>Confirm clinical screening exclusions remain in hospital scope</x:v>
      </x:c>
      <x:c r="D13" t="str">
        <x:v>TBD</x:v>
      </x:c>
      <x:c r="E13" t="str">
        <x:v>OPEN</x:v>
      </x:c>
    </x:row>
    <x:row r="14">
      <x:c r="A14" t="n">
        <x:v>13</x:v>
      </x:c>
      <x:c r="B14" t="str">
        <x:v>P1</x:v>
      </x:c>
      <x:c r="C14" t="str">
        <x:v>Validate patient funnel confidence under shared vector lot failure</x:v>
      </x:c>
      <x:c r="D14" t="str">
        <x:v>TBD</x:v>
      </x:c>
      <x:c r="E14" t="str">
        <x:v>OPEN</x:v>
      </x:c>
    </x:row>
    <x:row r="15">
      <x:c r="A15" t="n">
        <x:v>14</x:v>
      </x:c>
      <x:c r="B15" t="str">
        <x:v>P1</x:v>
      </x:c>
      <x:c r="C15" t="str">
        <x:v>Validate labor hours and shift premiums</x:v>
      </x:c>
      <x:c r="D15" t="str">
        <x:v>TBD</x:v>
      </x:c>
      <x:c r="E15" t="str">
        <x:v>OPEN</x:v>
      </x:c>
    </x:row>
    <x:row r="16">
      <x:c r="A16" t="n">
        <x:v>15</x:v>
      </x:c>
      <x:c r="B16" t="str">
        <x:v>P1</x:v>
      </x:c>
      <x:c r="C16" t="str">
        <x:v>Review expiry, cold-chain shipping, and reserve stock</x:v>
      </x:c>
      <x:c r="D16" t="str">
        <x:v>TBD</x:v>
      </x:c>
      <x:c r="E16" t="str">
        <x:v>OPEN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5" hidden="0" customWidth="1"/>
    <x:col min="3" max="3" width="24" hidden="0" customWidth="1"/>
    <x:col min="4" max="4" width="25" hidden="0" customWidth="1"/>
    <x:col min="5" max="5" width="26" hidden="0" customWidth="1"/>
    <x:col min="6" max="6" width="18" hidden="0" customWidth="1"/>
    <x:col min="7" max="7" width="22" hidden="0" customWidth="1"/>
    <x:col min="8" max="8" width="68" hidden="0" customWidth="1"/>
  </x:cols>
  <x:sheetData>
    <x:row r="1" ht="30" customHeight="1">
      <x:c r="A1" s="4" t="str">
        <x:v>Stage</x:v>
      </x:c>
      <x:c r="B1" s="4" t="str">
        <x:v>Material / reagent / test</x:v>
      </x:c>
      <x:c r="C1" s="4" t="str">
        <x:v>Vendor</x:v>
      </x:c>
      <x:c r="D1" s="4" t="str">
        <x:v>SKU</x:v>
      </x:c>
      <x:c r="E1" s="4" t="str">
        <x:v>Lot / batch ID</x:v>
      </x:c>
      <x:c r="F1" s="4" t="str">
        <x:v>Expiry date</x:v>
      </x:c>
      <x:c r="G1" s="4" t="str">
        <x:v>GMP / CoA status</x:v>
      </x:c>
      <x:c r="H1" s="4" t="str">
        <x:v>Comment</x:v>
      </x:c>
    </x:row>
    <x:row r="2">
      <x:c r="A2" t="str">
        <x:v>01 Screening</x:v>
      </x:c>
      <x:c r="B2" t="str">
        <x:v>Screening / eligibility service</x:v>
      </x:c>
      <x:c r="C2" t="str"/>
      <x:c r="D2" t="str"/>
      <x:c r="E2" s="10" t="str"/>
      <x:c r="F2" s="10" t="str"/>
      <x:c r="G2" s="10" t="str">
        <x:v>PENDING</x:v>
      </x:c>
      <x:c r="H2" t="str">
        <x:v>Enter lot IDs only once purchased; SKU is not a lot ID</x:v>
      </x:c>
    </x:row>
    <x:row r="3">
      <x:c r="A3" t="str">
        <x:v>02 Leukapheresis</x:v>
      </x:c>
      <x:c r="B3" t="str">
        <x:v>Leukapheresis procedure</x:v>
      </x:c>
      <x:c r="C3" t="str"/>
      <x:c r="D3" t="str"/>
      <x:c r="E3" s="10" t="str"/>
      <x:c r="F3" s="10" t="str"/>
      <x:c r="G3" s="10" t="str">
        <x:v>PENDING</x:v>
      </x:c>
      <x:c r="H3" t="str">
        <x:v>Enter lot IDs only once purchased; SKU is not a lot ID</x:v>
      </x:c>
    </x:row>
    <x:row r="4">
      <x:c r="A4" t="str">
        <x:v>02 Leukapheresis</x:v>
      </x:c>
      <x:c r="B4" t="str">
        <x:v>ACD anticoagulant</x:v>
      </x:c>
      <x:c r="C4" t="str"/>
      <x:c r="D4" t="str"/>
      <x:c r="E4" s="10" t="str"/>
      <x:c r="F4" s="10" t="str"/>
      <x:c r="G4" s="10" t="str">
        <x:v>PENDING</x:v>
      </x:c>
      <x:c r="H4" t="str">
        <x:v>Enter lot IDs only once purchased; SKU is not a lot ID</x:v>
      </x:c>
    </x:row>
    <x:row r="5">
      <x:c r="A5" t="str">
        <x:v>02 Leukapheresis</x:v>
      </x:c>
      <x:c r="B5" t="str">
        <x:v>Apheresis product transport</x:v>
      </x:c>
      <x:c r="C5" t="str"/>
      <x:c r="D5" t="str"/>
      <x:c r="E5" s="10" t="str"/>
      <x:c r="F5" s="10" t="str"/>
      <x:c r="G5" s="10" t="str">
        <x:v>PENDING</x:v>
      </x:c>
      <x:c r="H5" t="str">
        <x:v>Enter lot IDs only once purchased; SKU is not a lot ID</x:v>
      </x:c>
    </x:row>
    <x:row r="6">
      <x:c r="A6" t="str">
        <x:v>03 PBMC Isolation</x:v>
      </x:c>
      <x:c r="B6" t="str">
        <x:v>Sepax C-Pro processing charge</x:v>
      </x:c>
      <x:c r="C6" t="str">
        <x:v>Cytiva</x:v>
      </x:c>
      <x:c r="D6" t="str"/>
      <x:c r="E6" s="10" t="str"/>
      <x:c r="F6" s="10" t="str"/>
      <x:c r="G6" s="10" t="str">
        <x:v>PENDING</x:v>
      </x:c>
      <x:c r="H6" t="str">
        <x:v>Enter lot IDs only once purchased; SKU is not a lot ID</x:v>
      </x:c>
    </x:row>
    <x:row r="7">
      <x:c r="A7" t="str">
        <x:v>03 PBMC Isolation</x:v>
      </x:c>
      <x:c r="B7" t="str">
        <x:v>Ficoll Premium</x:v>
      </x:c>
      <x:c r="C7" t="str"/>
      <x:c r="D7" t="str"/>
      <x:c r="E7" s="10" t="str"/>
      <x:c r="F7" s="10" t="str"/>
      <x:c r="G7" s="10" t="str">
        <x:v>PENDING</x:v>
      </x:c>
      <x:c r="H7" t="str">
        <x:v>Enter lot IDs only once purchased; SKU is not a lot ID</x:v>
      </x:c>
    </x:row>
    <x:row r="8">
      <x:c r="A8" t="str">
        <x:v>03 PBMC Isolation</x:v>
      </x:c>
      <x:c r="B8" t="str">
        <x:v>0.9% NaCl</x:v>
      </x:c>
      <x:c r="C8" t="str">
        <x:v>B. Braun</x:v>
      </x:c>
      <x:c r="D8" t="str"/>
      <x:c r="E8" s="10" t="str"/>
      <x:c r="F8" s="10" t="str"/>
      <x:c r="G8" s="10" t="str">
        <x:v>PENDING</x:v>
      </x:c>
      <x:c r="H8" t="str">
        <x:v>Enter lot IDs only once purchased; SKU is not a lot ID</x:v>
      </x:c>
    </x:row>
    <x:row r="9">
      <x:c r="A9" t="str">
        <x:v>03 PBMC Isolation</x:v>
      </x:c>
      <x:c r="B9" t="str">
        <x:v>HSA</x:v>
      </x:c>
      <x:c r="C9" t="str">
        <x:v>Takeda Pharma</x:v>
      </x:c>
      <x:c r="D9" t="str"/>
      <x:c r="E9" s="10" t="str"/>
      <x:c r="F9" s="10" t="str"/>
      <x:c r="G9" s="10" t="str">
        <x:v>PENDING</x:v>
      </x:c>
      <x:c r="H9" t="str">
        <x:v>Enter lot IDs only once purchased; SKU is not a lot ID</x:v>
      </x:c>
    </x:row>
    <x:row r="10">
      <x:c r="A10" t="str">
        <x:v>03 PBMC Isolation</x:v>
      </x:c>
      <x:c r="B10" t="str">
        <x:v>Pulmozyme</x:v>
      </x:c>
      <x:c r="C10" t="str"/>
      <x:c r="D10" t="str"/>
      <x:c r="E10" s="10" t="str"/>
      <x:c r="F10" s="10" t="str"/>
      <x:c r="G10" s="10" t="str">
        <x:v>PENDING</x:v>
      </x:c>
      <x:c r="H10" t="str">
        <x:v>Enter lot IDs only once purchased; SKU is not a lot ID</x:v>
      </x:c>
    </x:row>
    <x:row r="11">
      <x:c r="A11" t="str">
        <x:v>03 PBMC Isolation</x:v>
      </x:c>
      <x:c r="B11" t="str">
        <x:v>Sepax disposable set</x:v>
      </x:c>
      <x:c r="C11" t="str"/>
      <x:c r="D11" t="str"/>
      <x:c r="E11" s="10" t="str"/>
      <x:c r="F11" s="10" t="str"/>
      <x:c r="G11" s="10" t="str">
        <x:v>PENDING</x:v>
      </x:c>
      <x:c r="H11" t="str">
        <x:v>Enter lot IDs only once purchased; SKU is not a lot ID</x:v>
      </x:c>
    </x:row>
    <x:row r="12">
      <x:c r="A12" t="str">
        <x:v>03 PBMC Isolation</x:v>
      </x:c>
      <x:c r="B12" t="str">
        <x:v>225 mL centrifuge flask</x:v>
      </x:c>
      <x:c r="C12" t="str">
        <x:v>Falcon</x:v>
      </x:c>
      <x:c r="D12" t="str">
        <x:v>352075</x:v>
      </x:c>
      <x:c r="E12" s="10" t="str"/>
      <x:c r="F12" s="10" t="str"/>
      <x:c r="G12" s="10" t="str">
        <x:v>PENDING</x:v>
      </x:c>
      <x:c r="H12" t="str">
        <x:v>Enter lot IDs only once purchased; SKU is not a lot ID</x:v>
      </x:c>
    </x:row>
    <x:row r="13">
      <x:c r="A13" t="str">
        <x:v>04 Incoming QC</x:v>
      </x:c>
      <x:c r="B13" t="str">
        <x:v>BD Multitest 6-color TBNK</x:v>
      </x:c>
      <x:c r="C13" t="str">
        <x:v>BD</x:v>
      </x:c>
      <x:c r="D13" t="str"/>
      <x:c r="E13" s="10" t="str"/>
      <x:c r="F13" s="10" t="str"/>
      <x:c r="G13" s="10" t="str">
        <x:v>PENDING</x:v>
      </x:c>
      <x:c r="H13" t="str">
        <x:v>Enter lot IDs only once purchased; SKU is not a lot ID</x:v>
      </x:c>
    </x:row>
    <x:row r="14">
      <x:c r="A14" t="str">
        <x:v>04 Incoming QC</x:v>
      </x:c>
      <x:c r="B14" t="str">
        <x:v>BD Trucount beads</x:v>
      </x:c>
      <x:c r="C14" t="str">
        <x:v>BD</x:v>
      </x:c>
      <x:c r="D14" t="str"/>
      <x:c r="E14" s="10" t="str"/>
      <x:c r="F14" s="10" t="str"/>
      <x:c r="G14" s="10" t="str">
        <x:v>PENDING</x:v>
      </x:c>
      <x:c r="H14" t="str">
        <x:v>Enter lot IDs only once purchased; SKU is not a lot ID</x:v>
      </x:c>
    </x:row>
    <x:row r="15">
      <x:c r="A15" t="str">
        <x:v>04 Incoming QC</x:v>
      </x:c>
      <x:c r="B15" t="str">
        <x:v>Flow cytometry acquisition</x:v>
      </x:c>
      <x:c r="C15" t="str"/>
      <x:c r="D15" t="str"/>
      <x:c r="E15" s="10" t="str"/>
      <x:c r="F15" s="10" t="str"/>
      <x:c r="G15" s="10" t="str">
        <x:v>PENDING</x:v>
      </x:c>
      <x:c r="H15" t="str">
        <x:v>Enter lot IDs only once purchased; SKU is not a lot ID</x:v>
      </x:c>
    </x:row>
    <x:row r="16">
      <x:c r="A16" t="str">
        <x:v>05 CAR-T Manufacturing</x:v>
      </x:c>
      <x:c r="B16" t="str">
        <x:v>CliniMACS Prodigy TS 520</x:v>
      </x:c>
      <x:c r="C16" t="str">
        <x:v>Miltenyi</x:v>
      </x:c>
      <x:c r="D16" t="str">
        <x:v>200-073-613</x:v>
      </x:c>
      <x:c r="E16" s="10" t="str"/>
      <x:c r="F16" s="10" t="str"/>
      <x:c r="G16" s="10" t="str">
        <x:v>PENDING</x:v>
      </x:c>
      <x:c r="H16" t="str">
        <x:v>Enter lot IDs only once purchased; SKU is not a lot ID</x:v>
      </x:c>
    </x:row>
    <x:row r="17">
      <x:c r="A17" t="str">
        <x:v>05 CAR-T Manufacturing</x:v>
      </x:c>
      <x:c r="B17" t="str">
        <x:v>TexMACS GMP medium</x:v>
      </x:c>
      <x:c r="C17" t="str">
        <x:v>Miltenyi</x:v>
      </x:c>
      <x:c r="D17" t="str">
        <x:v>170-076-306</x:v>
      </x:c>
      <x:c r="E17" s="10" t="str"/>
      <x:c r="F17" s="10" t="str"/>
      <x:c r="G17" s="10" t="str">
        <x:v>PENDING</x:v>
      </x:c>
      <x:c r="H17" t="str">
        <x:v>Enter lot IDs only once purchased; SKU is not a lot ID</x:v>
      </x:c>
    </x:row>
    <x:row r="18">
      <x:c r="A18" t="str">
        <x:v>05 CAR-T Manufacturing</x:v>
      </x:c>
      <x:c r="B18" t="str">
        <x:v>MACS GMP IL-7</x:v>
      </x:c>
      <x:c r="C18" t="str">
        <x:v>Miltenyi</x:v>
      </x:c>
      <x:c r="D18" t="str">
        <x:v>170-076-111</x:v>
      </x:c>
      <x:c r="E18" s="10" t="str"/>
      <x:c r="F18" s="10" t="str"/>
      <x:c r="G18" s="10" t="str">
        <x:v>PENDING</x:v>
      </x:c>
      <x:c r="H18" t="str">
        <x:v>Enter lot IDs only once purchased; SKU is not a lot ID</x:v>
      </x:c>
    </x:row>
    <x:row r="19">
      <x:c r="A19" t="str">
        <x:v>05 CAR-T Manufacturing</x:v>
      </x:c>
      <x:c r="B19" t="str">
        <x:v>MACS GMP IL-15</x:v>
      </x:c>
      <x:c r="C19" t="str">
        <x:v>Miltenyi</x:v>
      </x:c>
      <x:c r="D19" t="str">
        <x:v>170-076-114</x:v>
      </x:c>
      <x:c r="E19" s="10" t="str"/>
      <x:c r="F19" s="10" t="str"/>
      <x:c r="G19" s="10" t="str">
        <x:v>PENDING</x:v>
      </x:c>
      <x:c r="H19" t="str">
        <x:v>Enter lot IDs only once purchased; SKU is not a lot ID</x:v>
      </x:c>
    </x:row>
    <x:row r="20">
      <x:c r="A20" t="str">
        <x:v>05 CAR-T Manufacturing</x:v>
      </x:c>
      <x:c r="B20" t="str">
        <x:v>MACS GMP T cell TransAct</x:v>
      </x:c>
      <x:c r="C20" t="str">
        <x:v>Miltenyi</x:v>
      </x:c>
      <x:c r="D20" t="str">
        <x:v>200-076-202</x:v>
      </x:c>
      <x:c r="E20" s="10" t="str"/>
      <x:c r="F20" s="10" t="str"/>
      <x:c r="G20" s="10" t="str">
        <x:v>PENDING</x:v>
      </x:c>
      <x:c r="H20" t="str">
        <x:v>Enter lot IDs only once purchased; SKU is not a lot ID</x:v>
      </x:c>
    </x:row>
    <x:row r="21">
      <x:c r="A21" t="str">
        <x:v>05 CAR-T Manufacturing</x:v>
      </x:c>
      <x:c r="B21" t="str">
        <x:v>MACS GMP Vectofusin-1</x:v>
      </x:c>
      <x:c r="C21" t="str">
        <x:v>Miltenyi</x:v>
      </x:c>
      <x:c r="D21" t="str">
        <x:v>170-076-165</x:v>
      </x:c>
      <x:c r="E21" s="10" t="str"/>
      <x:c r="F21" s="10" t="str"/>
      <x:c r="G21" s="10" t="str">
        <x:v>PENDING</x:v>
      </x:c>
      <x:c r="H21" t="str">
        <x:v>Enter lot IDs only once purchased; SKU is not a lot ID</x:v>
      </x:c>
    </x:row>
    <x:row r="22">
      <x:c r="A22" t="str">
        <x:v>05 CAR-T Manufacturing</x:v>
      </x:c>
      <x:c r="B22" t="str">
        <x:v>Retroviral vector supernatant RV(CAR20NAP)</x:v>
      </x:c>
      <x:c r="C22" t="str">
        <x:v>BioNTech</x:v>
      </x:c>
      <x:c r="D22" t="str">
        <x:v>HE-AM083</x:v>
      </x:c>
      <x:c r="E22" s="10" t="str"/>
      <x:c r="F22" s="10" t="str"/>
      <x:c r="G22" s="10" t="str">
        <x:v>PENDING</x:v>
      </x:c>
      <x:c r="H22" t="str">
        <x:v>Enter lot IDs only once purchased; SKU is not a lot ID</x:v>
      </x:c>
    </x:row>
    <x:row r="23">
      <x:c r="A23" t="str">
        <x:v>05 CAR-T Manufacturing</x:v>
      </x:c>
      <x:c r="B23" t="str">
        <x:v>WFI</x:v>
      </x:c>
      <x:c r="C23" t="str">
        <x:v>B. Braun</x:v>
      </x:c>
      <x:c r="D23" t="str"/>
      <x:c r="E23" s="10" t="str"/>
      <x:c r="F23" s="10" t="str"/>
      <x:c r="G23" s="10" t="str">
        <x:v>PENDING</x:v>
      </x:c>
      <x:c r="H23" t="str">
        <x:v>Enter lot IDs only once purchased; SKU is not a lot ID</x:v>
      </x:c>
    </x:row>
    <x:row r="24">
      <x:c r="A24" t="str">
        <x:v>05 CAR-T Manufacturing</x:v>
      </x:c>
      <x:c r="B24" t="str">
        <x:v>0.9% NaCl for injection</x:v>
      </x:c>
      <x:c r="C24" t="str">
        <x:v>B. Braun</x:v>
      </x:c>
      <x:c r="D24" t="str"/>
      <x:c r="E24" s="10" t="str"/>
      <x:c r="F24" s="10" t="str"/>
      <x:c r="G24" s="10" t="str">
        <x:v>PENDING</x:v>
      </x:c>
      <x:c r="H24" t="str">
        <x:v>Enter lot IDs only once purchased; SKU is not a lot ID</x:v>
      </x:c>
    </x:row>
    <x:row r="25">
      <x:c r="A25" t="str">
        <x:v>05 CAR-T Manufacturing</x:v>
      </x:c>
      <x:c r="B25" t="str">
        <x:v>Human serum albumin</x:v>
      </x:c>
      <x:c r="C25" t="str">
        <x:v>Takeda Pharma</x:v>
      </x:c>
      <x:c r="D25" t="str"/>
      <x:c r="E25" s="10" t="str"/>
      <x:c r="F25" s="10" t="str"/>
      <x:c r="G25" s="10" t="str">
        <x:v>PENDING</x:v>
      </x:c>
      <x:c r="H25" t="str">
        <x:v>Enter lot IDs only once purchased; SKU is not a lot ID</x:v>
      </x:c>
    </x:row>
    <x:row r="26">
      <x:c r="A26" t="str">
        <x:v>05 CAR-T Manufacturing</x:v>
      </x:c>
      <x:c r="B26" t="str">
        <x:v>Luer/spike interconnector</x:v>
      </x:c>
      <x:c r="C26" t="str">
        <x:v>Miltenyi</x:v>
      </x:c>
      <x:c r="D26" t="str">
        <x:v>130-018-701</x:v>
      </x:c>
      <x:c r="E26" s="10" t="str"/>
      <x:c r="F26" s="10" t="str"/>
      <x:c r="G26" s="10" t="str">
        <x:v>PENDING</x:v>
      </x:c>
      <x:c r="H26" t="str">
        <x:v>Enter lot IDs only once purchased; SKU is not a lot ID</x:v>
      </x:c>
    </x:row>
    <x:row r="27">
      <x:c r="A27" t="str">
        <x:v>05 CAR-T Manufacturing</x:v>
      </x:c>
      <x:c r="B27" t="str">
        <x:v>Luer/MPC adapter</x:v>
      </x:c>
      <x:c r="C27" t="str">
        <x:v>Aseptic Group</x:v>
      </x:c>
      <x:c r="D27" t="str">
        <x:v>VECU-291124-01_S</x:v>
      </x:c>
      <x:c r="E27" s="10" t="str"/>
      <x:c r="F27" s="10" t="str"/>
      <x:c r="G27" s="10" t="str">
        <x:v>PENDING</x:v>
      </x:c>
      <x:c r="H27" t="str">
        <x:v>Enter lot IDs only once purchased; SKU is not a lot ID</x:v>
      </x:c>
    </x:row>
    <x:row r="28">
      <x:c r="A28" t="str">
        <x:v>05 CAR-T Manufacturing</x:v>
      </x:c>
      <x:c r="B28" t="str">
        <x:v>Triple sampling adapter</x:v>
      </x:c>
      <x:c r="C28" t="str">
        <x:v>Miltenyi</x:v>
      </x:c>
      <x:c r="D28" t="str">
        <x:v>170-076-609</x:v>
      </x:c>
      <x:c r="E28" s="10" t="str"/>
      <x:c r="F28" s="10" t="str"/>
      <x:c r="G28" s="10" t="str">
        <x:v>PENDING</x:v>
      </x:c>
      <x:c r="H28" t="str">
        <x:v>Enter lot IDs only once purchased; SKU is not a lot ID</x:v>
      </x:c>
    </x:row>
    <x:row r="29">
      <x:c r="A29" t="str">
        <x:v>05 CAR-T Manufacturing</x:v>
      </x:c>
      <x:c r="B29" t="str">
        <x:v>Transfer bag 150 mL</x:v>
      </x:c>
      <x:c r="C29" t="str">
        <x:v>Terumo</x:v>
      </x:c>
      <x:c r="D29" t="str">
        <x:v>BB*T015CM</x:v>
      </x:c>
      <x:c r="E29" s="10" t="str"/>
      <x:c r="F29" s="10" t="str"/>
      <x:c r="G29" s="10" t="str">
        <x:v>PENDING</x:v>
      </x:c>
      <x:c r="H29" t="str">
        <x:v>Enter lot IDs only once purchased; SKU is not a lot ID</x:v>
      </x:c>
    </x:row>
    <x:row r="30">
      <x:c r="A30" t="str">
        <x:v>05 CAR-T Manufacturing</x:v>
      </x:c>
      <x:c r="B30" t="str">
        <x:v>Sterile flask 125 mL</x:v>
      </x:c>
      <x:c r="C30" t="str">
        <x:v>Corning</x:v>
      </x:c>
      <x:c r="D30" t="str">
        <x:v>8388</x:v>
      </x:c>
      <x:c r="E30" s="10" t="str"/>
      <x:c r="F30" s="10" t="str"/>
      <x:c r="G30" s="10" t="str">
        <x:v>PENDING</x:v>
      </x:c>
      <x:c r="H30" t="str">
        <x:v>Enter lot IDs only once purchased; SKU is not a lot ID</x:v>
      </x:c>
    </x:row>
    <x:row r="31">
      <x:c r="A31" t="str">
        <x:v>05 CAR-T Manufacturing</x:v>
      </x:c>
      <x:c r="B31" t="str">
        <x:v>Syringe 2.5 mL</x:v>
      </x:c>
      <x:c r="C31" t="str">
        <x:v>Terumo</x:v>
      </x:c>
      <x:c r="D31" t="str"/>
      <x:c r="E31" s="10" t="str"/>
      <x:c r="F31" s="10" t="str"/>
      <x:c r="G31" s="10" t="str">
        <x:v>PENDING</x:v>
      </x:c>
      <x:c r="H31" t="str">
        <x:v>Enter lot IDs only once purchased; SKU is not a lot ID</x:v>
      </x:c>
    </x:row>
    <x:row r="32">
      <x:c r="A32" t="str">
        <x:v>05 CAR-T Manufacturing</x:v>
      </x:c>
      <x:c r="B32" t="str">
        <x:v>Syringe 5 mL</x:v>
      </x:c>
      <x:c r="C32" t="str">
        <x:v>Terumo</x:v>
      </x:c>
      <x:c r="D32" t="str"/>
      <x:c r="E32" s="10" t="str"/>
      <x:c r="F32" s="10" t="str"/>
      <x:c r="G32" s="10" t="str">
        <x:v>PENDING</x:v>
      </x:c>
      <x:c r="H32" t="str">
        <x:v>Enter lot IDs only once purchased; SKU is not a lot ID</x:v>
      </x:c>
    </x:row>
    <x:row r="33">
      <x:c r="A33" t="str">
        <x:v>05 CAR-T Manufacturing</x:v>
      </x:c>
      <x:c r="B33" t="str">
        <x:v>Syringe 10 mL</x:v>
      </x:c>
      <x:c r="C33" t="str">
        <x:v>Terumo</x:v>
      </x:c>
      <x:c r="D33" t="str"/>
      <x:c r="E33" s="10" t="str"/>
      <x:c r="F33" s="10" t="str"/>
      <x:c r="G33" s="10" t="str">
        <x:v>PENDING</x:v>
      </x:c>
      <x:c r="H33" t="str">
        <x:v>Enter lot IDs only once purchased; SKU is not a lot ID</x:v>
      </x:c>
    </x:row>
    <x:row r="34">
      <x:c r="A34" t="str">
        <x:v>05 CAR-T Manufacturing</x:v>
      </x:c>
      <x:c r="B34" t="str">
        <x:v>Syringe 50 mL</x:v>
      </x:c>
      <x:c r="C34" t="str">
        <x:v>Terumo</x:v>
      </x:c>
      <x:c r="D34" t="str"/>
      <x:c r="E34" s="10" t="str"/>
      <x:c r="F34" s="10" t="str"/>
      <x:c r="G34" s="10" t="str">
        <x:v>PENDING</x:v>
      </x:c>
      <x:c r="H34" t="str">
        <x:v>Enter lot IDs only once purchased; SKU is not a lot ID</x:v>
      </x:c>
    </x:row>
    <x:row r="35">
      <x:c r="A35" t="str">
        <x:v>05 CAR-T Manufacturing</x:v>
      </x:c>
      <x:c r="B35" t="str">
        <x:v>18G blunt fill needle</x:v>
      </x:c>
      <x:c r="C35" t="str">
        <x:v>Medicarrier/Albiox</x:v>
      </x:c>
      <x:c r="D35" t="str">
        <x:v>N05A18B</x:v>
      </x:c>
      <x:c r="E35" s="10" t="str"/>
      <x:c r="F35" s="10" t="str"/>
      <x:c r="G35" s="10" t="str">
        <x:v>PENDING</x:v>
      </x:c>
      <x:c r="H35" t="str">
        <x:v>Enter lot IDs only once purchased; SKU is not a lot ID</x:v>
      </x:c>
    </x:row>
    <x:row r="36">
      <x:c r="A36" t="str">
        <x:v>05 CAR-T Manufacturing</x:v>
      </x:c>
      <x:c r="B36" t="str">
        <x:v>15 mL centrifuge tube</x:v>
      </x:c>
      <x:c r="C36" t="str">
        <x:v>TPP</x:v>
      </x:c>
      <x:c r="D36" t="str">
        <x:v>391015</x:v>
      </x:c>
      <x:c r="E36" s="10" t="str"/>
      <x:c r="F36" s="10" t="str"/>
      <x:c r="G36" s="10" t="str">
        <x:v>PENDING</x:v>
      </x:c>
      <x:c r="H36" t="str">
        <x:v>Enter lot IDs only once purchased; SKU is not a lot ID</x:v>
      </x:c>
    </x:row>
    <x:row r="37">
      <x:c r="A37" t="str">
        <x:v>05 CAR-T Manufacturing</x:v>
      </x:c>
      <x:c r="B37" t="str">
        <x:v>50 mL centrifuge tube</x:v>
      </x:c>
      <x:c r="C37" t="str">
        <x:v>TPP</x:v>
      </x:c>
      <x:c r="D37" t="str">
        <x:v>391050 / 91550</x:v>
      </x:c>
      <x:c r="E37" s="10" t="str"/>
      <x:c r="F37" s="10" t="str"/>
      <x:c r="G37" s="10" t="str">
        <x:v>PENDING</x:v>
      </x:c>
      <x:c r="H37" t="str">
        <x:v>Enter lot IDs only once purchased; SKU is not a lot ID</x:v>
      </x:c>
    </x:row>
    <x:row r="38">
      <x:c r="A38" t="str">
        <x:v>05 CAR-T Manufacturing</x:v>
      </x:c>
      <x:c r="B38" t="str">
        <x:v>15 mL endotoxin tube</x:v>
      </x:c>
      <x:c r="C38" t="str">
        <x:v>TPP</x:v>
      </x:c>
      <x:c r="D38" t="str">
        <x:v>391115</x:v>
      </x:c>
      <x:c r="E38" s="10" t="str"/>
      <x:c r="F38" s="10" t="str"/>
      <x:c r="G38" s="10" t="str">
        <x:v>PENDING</x:v>
      </x:c>
      <x:c r="H38" t="str">
        <x:v>Enter lot IDs only once purchased; SKU is not a lot ID</x:v>
      </x:c>
    </x:row>
    <x:row r="39">
      <x:c r="A39" t="str">
        <x:v>05 CAR-T Manufacturing</x:v>
      </x:c>
      <x:c r="B39" t="str">
        <x:v>5 mL serological pipette</x:v>
      </x:c>
      <x:c r="C39" t="str">
        <x:v>TPP</x:v>
      </x:c>
      <x:c r="D39" t="str">
        <x:v>394005</x:v>
      </x:c>
      <x:c r="E39" s="10" t="str"/>
      <x:c r="F39" s="10" t="str"/>
      <x:c r="G39" s="10" t="str">
        <x:v>PENDING</x:v>
      </x:c>
      <x:c r="H39" t="str">
        <x:v>Enter lot IDs only once purchased; SKU is not a lot ID</x:v>
      </x:c>
    </x:row>
    <x:row r="40">
      <x:c r="A40" t="str">
        <x:v>05 CAR-T Manufacturing</x:v>
      </x:c>
      <x:c r="B40" t="str">
        <x:v>10 mL serological pipette</x:v>
      </x:c>
      <x:c r="C40" t="str">
        <x:v>TPP</x:v>
      </x:c>
      <x:c r="D40" t="str">
        <x:v>394010</x:v>
      </x:c>
      <x:c r="E40" s="10" t="str"/>
      <x:c r="F40" s="10" t="str"/>
      <x:c r="G40" s="10" t="str">
        <x:v>PENDING</x:v>
      </x:c>
      <x:c r="H40" t="str">
        <x:v>Enter lot IDs only once purchased; SKU is not a lot ID</x:v>
      </x:c>
    </x:row>
    <x:row r="41">
      <x:c r="A41" t="str">
        <x:v>05 CAR-T Manufacturing</x:v>
      </x:c>
      <x:c r="B41" t="str">
        <x:v>25 mL serological pipette</x:v>
      </x:c>
      <x:c r="C41" t="str">
        <x:v>TPP</x:v>
      </x:c>
      <x:c r="D41" t="str">
        <x:v>394024 / 394525</x:v>
      </x:c>
      <x:c r="E41" s="10" t="str"/>
      <x:c r="F41" s="10" t="str"/>
      <x:c r="G41" s="10" t="str">
        <x:v>PENDING</x:v>
      </x:c>
      <x:c r="H41" t="str">
        <x:v>Enter lot IDs only once purchased; SKU is not a lot ID</x:v>
      </x:c>
    </x:row>
    <x:row r="42">
      <x:c r="A42" t="str">
        <x:v>05 CAR-T Manufacturing</x:v>
      </x:c>
      <x:c r="B42" t="str">
        <x:v>50 mL serological pipette</x:v>
      </x:c>
      <x:c r="C42" t="str">
        <x:v>TPP</x:v>
      </x:c>
      <x:c r="D42" t="str">
        <x:v>394550</x:v>
      </x:c>
      <x:c r="E42" s="10" t="str"/>
      <x:c r="F42" s="10" t="str"/>
      <x:c r="G42" s="10" t="str">
        <x:v>PENDING</x:v>
      </x:c>
      <x:c r="H42" t="str">
        <x:v>Enter lot IDs only once purchased; SKU is not a lot ID</x:v>
      </x:c>
    </x:row>
    <x:row r="43">
      <x:c r="A43" t="str">
        <x:v>05 CAR-T Manufacturing</x:v>
      </x:c>
      <x:c r="B43" t="str">
        <x:v>150 mL sterile flask</x:v>
      </x:c>
      <x:c r="C43" t="str">
        <x:v>TPP</x:v>
      </x:c>
      <x:c r="D43" t="str">
        <x:v>399157</x:v>
      </x:c>
      <x:c r="E43" s="10" t="str"/>
      <x:c r="F43" s="10" t="str"/>
      <x:c r="G43" s="10" t="str">
        <x:v>PENDING</x:v>
      </x:c>
      <x:c r="H43" t="str">
        <x:v>Enter lot IDs only once purchased; SKU is not a lot ID</x:v>
      </x:c>
    </x:row>
    <x:row r="44">
      <x:c r="A44" t="str">
        <x:v>05 CAR-T Manufacturing</x:v>
      </x:c>
      <x:c r="B44" t="str">
        <x:v>250 mL sterile flask</x:v>
      </x:c>
      <x:c r="C44" t="str">
        <x:v>TPP</x:v>
      </x:c>
      <x:c r="D44" t="str">
        <x:v>399257</x:v>
      </x:c>
      <x:c r="E44" s="10" t="str"/>
      <x:c r="F44" s="10" t="str"/>
      <x:c r="G44" s="10" t="str">
        <x:v>PENDING</x:v>
      </x:c>
      <x:c r="H44" t="str">
        <x:v>Enter lot IDs only once purchased; SKU is not a lot ID</x:v>
      </x:c>
    </x:row>
    <x:row r="45">
      <x:c r="A45" t="str">
        <x:v>05 CAR-T Manufacturing</x:v>
      </x:c>
      <x:c r="B45" t="str">
        <x:v>500 mL sterile flask</x:v>
      </x:c>
      <x:c r="C45" t="str">
        <x:v>TPP</x:v>
      </x:c>
      <x:c r="D45" t="str">
        <x:v>399507</x:v>
      </x:c>
      <x:c r="E45" s="10" t="str"/>
      <x:c r="F45" s="10" t="str"/>
      <x:c r="G45" s="10" t="str">
        <x:v>PENDING</x:v>
      </x:c>
      <x:c r="H45" t="str">
        <x:v>Enter lot IDs only once purchased; SKU is not a lot ID</x:v>
      </x:c>
    </x:row>
    <x:row r="46">
      <x:c r="A46" t="str">
        <x:v>05 CAR-T Manufacturing</x:v>
      </x:c>
      <x:c r="B46" t="str">
        <x:v>1.5 mL cryovial</x:v>
      </x:c>
      <x:c r="C46" t="str">
        <x:v>TPP</x:v>
      </x:c>
      <x:c r="D46" t="str">
        <x:v>389020</x:v>
      </x:c>
      <x:c r="E46" s="10" t="str"/>
      <x:c r="F46" s="10" t="str"/>
      <x:c r="G46" s="10" t="str">
        <x:v>PENDING</x:v>
      </x:c>
      <x:c r="H46" t="str">
        <x:v>Enter lot IDs only once purchased; SKU is not a lot ID</x:v>
      </x:c>
    </x:row>
    <x:row r="47">
      <x:c r="A47" t="str">
        <x:v>05 CAR-T Manufacturing</x:v>
      </x:c>
      <x:c r="B47" t="str">
        <x:v>4.5 mL cryovial</x:v>
      </x:c>
      <x:c r="C47" t="str">
        <x:v>TPP</x:v>
      </x:c>
      <x:c r="D47" t="str">
        <x:v>389050</x:v>
      </x:c>
      <x:c r="E47" s="10" t="str"/>
      <x:c r="F47" s="10" t="str"/>
      <x:c r="G47" s="10" t="str">
        <x:v>PENDING</x:v>
      </x:c>
      <x:c r="H47" t="str">
        <x:v>Enter lot IDs only once purchased; SKU is not a lot ID</x:v>
      </x:c>
    </x:row>
    <x:row r="48">
      <x:c r="A48" t="str">
        <x:v>05 CAR-T Manufacturing</x:v>
      </x:c>
      <x:c r="B48" t="str">
        <x:v>Filtered tips 100-1000 uL</x:v>
      </x:c>
      <x:c r="C48" t="str">
        <x:v>Thermo Fisher</x:v>
      </x:c>
      <x:c r="D48" t="str">
        <x:v>2079E</x:v>
      </x:c>
      <x:c r="E48" s="10" t="str"/>
      <x:c r="F48" s="10" t="str"/>
      <x:c r="G48" s="10" t="str">
        <x:v>PENDING</x:v>
      </x:c>
      <x:c r="H48" t="str">
        <x:v>Enter lot IDs only once purchased; SKU is not a lot ID</x:v>
      </x:c>
    </x:row>
    <x:row r="49">
      <x:c r="A49" t="str">
        <x:v>05 CAR-T Manufacturing</x:v>
      </x:c>
      <x:c r="B49" t="str">
        <x:v>Filtered tips 10-100 uL</x:v>
      </x:c>
      <x:c r="C49" t="str">
        <x:v>Thermo Fisher</x:v>
      </x:c>
      <x:c r="D49" t="str">
        <x:v>2065E</x:v>
      </x:c>
      <x:c r="E49" s="10" t="str"/>
      <x:c r="F49" s="10" t="str"/>
      <x:c r="G49" s="10" t="str">
        <x:v>PENDING</x:v>
      </x:c>
      <x:c r="H49" t="str">
        <x:v>Enter lot IDs only once purchased; SKU is not a lot ID</x:v>
      </x:c>
    </x:row>
    <x:row r="50">
      <x:c r="A50" t="str">
        <x:v>05 CAR-T Manufacturing</x:v>
      </x:c>
      <x:c r="B50" t="str">
        <x:v>Pipette filler filter</x:v>
      </x:c>
      <x:c r="C50" t="str">
        <x:v>VWR</x:v>
      </x:c>
      <x:c r="D50" t="str">
        <x:v>612-1963</x:v>
      </x:c>
      <x:c r="E50" s="10" t="str"/>
      <x:c r="F50" s="10" t="str"/>
      <x:c r="G50" s="10" t="str">
        <x:v>PENDING</x:v>
      </x:c>
      <x:c r="H50" t="str">
        <x:v>Enter lot IDs only once purchased; SKU is not a lot ID</x:v>
      </x:c>
    </x:row>
    <x:row r="51">
      <x:c r="A51" t="str">
        <x:v>05 CAR-T Manufacturing</x:v>
      </x:c>
      <x:c r="B51" t="str">
        <x:v>Via1 cassette</x:v>
      </x:c>
      <x:c r="C51" t="str">
        <x:v>ChemoMetec</x:v>
      </x:c>
      <x:c r="D51" t="str">
        <x:v>941-0012</x:v>
      </x:c>
      <x:c r="E51" s="10" t="str"/>
      <x:c r="F51" s="10" t="str"/>
      <x:c r="G51" s="10" t="str">
        <x:v>PENDING</x:v>
      </x:c>
      <x:c r="H51" t="str">
        <x:v>Enter lot IDs only once purchased; SKU is not a lot ID</x:v>
      </x:c>
    </x:row>
    <x:row r="52">
      <x:c r="A52" t="str">
        <x:v>05 CAR-T Manufacturing</x:v>
      </x:c>
      <x:c r="B52" t="str">
        <x:v>Sterile welder wafers</x:v>
      </x:c>
      <x:c r="C52" t="str">
        <x:v>Terumo</x:v>
      </x:c>
      <x:c r="D52" t="str">
        <x:v>SCW017</x:v>
      </x:c>
      <x:c r="E52" s="10" t="str"/>
      <x:c r="F52" s="10" t="str"/>
      <x:c r="G52" s="10" t="str">
        <x:v>PENDING</x:v>
      </x:c>
      <x:c r="H52" t="str">
        <x:v>Enter lot IDs only once purchased; SKU is not a lot ID</x:v>
      </x:c>
    </x:row>
    <x:row r="53">
      <x:c r="A53" t="str">
        <x:v>06 In-Process QC</x:v>
      </x:c>
      <x:c r="B53" t="str">
        <x:v>NC-200 cell count and viability Day 3</x:v>
      </x:c>
      <x:c r="C53" t="str"/>
      <x:c r="D53" t="str"/>
      <x:c r="E53" s="10" t="str"/>
      <x:c r="F53" s="10" t="str"/>
      <x:c r="G53" s="10" t="str">
        <x:v>PENDING</x:v>
      </x:c>
      <x:c r="H53" t="str">
        <x:v>Enter lot IDs only once purchased; SKU is not a lot ID</x:v>
      </x:c>
    </x:row>
    <x:row r="54">
      <x:c r="A54" t="str">
        <x:v>06 In-Process QC</x:v>
      </x:c>
      <x:c r="B54" t="str">
        <x:v>NC-200 cell count and viability Day 7 / Day 13</x:v>
      </x:c>
      <x:c r="C54" t="str"/>
      <x:c r="D54" t="str"/>
      <x:c r="E54" s="10" t="str"/>
      <x:c r="F54" s="10" t="str"/>
      <x:c r="G54" s="10" t="str">
        <x:v>PENDING</x:v>
      </x:c>
      <x:c r="H54" t="str">
        <x:v>Enter lot IDs only once purchased; SKU is not a lot ID</x:v>
      </x:c>
    </x:row>
    <x:row r="55">
      <x:c r="A55" t="str">
        <x:v>06 In-Process QC</x:v>
      </x:c>
      <x:c r="B55" t="str">
        <x:v>Flow cytometry Day 3</x:v>
      </x:c>
      <x:c r="C55" t="str"/>
      <x:c r="D55" t="str"/>
      <x:c r="E55" s="10" t="str"/>
      <x:c r="F55" s="10" t="str"/>
      <x:c r="G55" s="10" t="str">
        <x:v>PENDING</x:v>
      </x:c>
      <x:c r="H55" t="str">
        <x:v>Enter lot IDs only once purchased; SKU is not a lot ID</x:v>
      </x:c>
    </x:row>
    <x:row r="56">
      <x:c r="A56" t="str">
        <x:v>06 In-Process QC</x:v>
      </x:c>
      <x:c r="B56" t="str">
        <x:v>Flow cytometry Day 7 / Day 13</x:v>
      </x:c>
      <x:c r="C56" t="str"/>
      <x:c r="D56" t="str"/>
      <x:c r="E56" s="10" t="str"/>
      <x:c r="F56" s="10" t="str"/>
      <x:c r="G56" s="10" t="str">
        <x:v>PENDING</x:v>
      </x:c>
      <x:c r="H56" t="str">
        <x:v>Enter lot IDs only once purchased; SKU is not a lot ID</x:v>
      </x:c>
    </x:row>
    <x:row r="57">
      <x:c r="A57" t="str">
        <x:v>07 Harvest &amp; Cryo</x:v>
      </x:c>
      <x:c r="B57" t="str">
        <x:v>DMSO</x:v>
      </x:c>
      <x:c r="C57" t="str">
        <x:v>WAK-Chemie</x:v>
      </x:c>
      <x:c r="D57" t="str">
        <x:v>WAK-DMSO10</x:v>
      </x:c>
      <x:c r="E57" s="10" t="str"/>
      <x:c r="F57" s="10" t="str"/>
      <x:c r="G57" s="10" t="str">
        <x:v>PENDING</x:v>
      </x:c>
      <x:c r="H57" t="str">
        <x:v>Enter lot IDs only once purchased; SKU is not a lot ID</x:v>
      </x:c>
    </x:row>
    <x:row r="58">
      <x:c r="A58" t="str">
        <x:v>07 Harvest &amp; Cryo</x:v>
      </x:c>
      <x:c r="B58" t="str">
        <x:v>Cryobag 10-25 mL</x:v>
      </x:c>
      <x:c r="C58" t="str">
        <x:v>Macopharma</x:v>
      </x:c>
      <x:c r="D58" t="str">
        <x:v>GSR 1000AU</x:v>
      </x:c>
      <x:c r="E58" s="10" t="str"/>
      <x:c r="F58" s="10" t="str"/>
      <x:c r="G58" s="10" t="str">
        <x:v>PENDING</x:v>
      </x:c>
      <x:c r="H58" t="str">
        <x:v>Enter lot IDs only once purchased; SKU is not a lot ID</x:v>
      </x:c>
    </x:row>
    <x:row r="59">
      <x:c r="A59" t="str">
        <x:v>07 Harvest &amp; Cryo</x:v>
      </x:c>
      <x:c r="B59" t="str">
        <x:v>Cryobag 15-85 mL</x:v>
      </x:c>
      <x:c r="C59" t="str">
        <x:v>Macopharma</x:v>
      </x:c>
      <x:c r="D59" t="str">
        <x:v>GSR 2001AU</x:v>
      </x:c>
      <x:c r="E59" s="10" t="str"/>
      <x:c r="F59" s="10" t="str"/>
      <x:c r="G59" s="10" t="str">
        <x:v>PENDING</x:v>
      </x:c>
      <x:c r="H59" t="str">
        <x:v>Enter lot IDs only once purchased; SKU is not a lot ID</x:v>
      </x:c>
    </x:row>
    <x:row r="60">
      <x:c r="A60" t="str">
        <x:v>07 Harvest &amp; Cryo</x:v>
      </x:c>
      <x:c r="B60" t="str">
        <x:v>Cryobag 40-160 mL</x:v>
      </x:c>
      <x:c r="C60" t="str">
        <x:v>Macopharma</x:v>
      </x:c>
      <x:c r="D60" t="str">
        <x:v>GSR 7001AU</x:v>
      </x:c>
      <x:c r="E60" s="10" t="str"/>
      <x:c r="F60" s="10" t="str"/>
      <x:c r="G60" s="10" t="str">
        <x:v>PENDING</x:v>
      </x:c>
      <x:c r="H60" t="str">
        <x:v>Enter lot IDs only once purchased; SKU is not a lot ID</x:v>
      </x:c>
    </x:row>
    <x:row r="61">
      <x:c r="A61" t="str">
        <x:v>07 Harvest &amp; Cryo</x:v>
      </x:c>
      <x:c r="B61" t="str">
        <x:v>EVA cryopreservation bag</x:v>
      </x:c>
      <x:c r="C61" t="str"/>
      <x:c r="D61" t="str"/>
      <x:c r="E61" s="10" t="str"/>
      <x:c r="F61" s="10" t="str"/>
      <x:c r="G61" s="10" t="str">
        <x:v>PENDING</x:v>
      </x:c>
      <x:c r="H61" t="str">
        <x:v>Enter lot IDs only once purchased; SKU is not a lot ID</x:v>
      </x:c>
    </x:row>
    <x:row r="62">
      <x:c r="A62" t="str">
        <x:v>07 Harvest &amp; Cryo</x:v>
      </x:c>
      <x:c r="B62" t="str">
        <x:v>Cryobag protective cassette</x:v>
      </x:c>
      <x:c r="C62" t="str"/>
      <x:c r="D62" t="str"/>
      <x:c r="E62" s="10" t="str"/>
      <x:c r="F62" s="10" t="str"/>
      <x:c r="G62" s="10" t="str">
        <x:v>PENDING</x:v>
      </x:c>
      <x:c r="H62" t="str">
        <x:v>Enter lot IDs only once purchased; SKU is not a lot ID</x:v>
      </x:c>
    </x:row>
    <x:row r="63">
      <x:c r="A63" t="str">
        <x:v>07 Harvest &amp; Cryo</x:v>
      </x:c>
      <x:c r="B63" t="str">
        <x:v>Styrofoam protective shipping box</x:v>
      </x:c>
      <x:c r="C63" t="str"/>
      <x:c r="D63" t="str"/>
      <x:c r="E63" s="10" t="str"/>
      <x:c r="F63" s="10" t="str"/>
      <x:c r="G63" s="10" t="str">
        <x:v>PENDING</x:v>
      </x:c>
      <x:c r="H63" t="str">
        <x:v>Enter lot IDs only once purchased; SKU is not a lot ID</x:v>
      </x:c>
    </x:row>
    <x:row r="64">
      <x:c r="A64" t="str">
        <x:v>08 Shipping</x:v>
      </x:c>
      <x:c r="B64" t="str">
        <x:v>Dry shipper transport &lt;= -150 C</x:v>
      </x:c>
      <x:c r="C64" t="str"/>
      <x:c r="D64" t="str"/>
      <x:c r="E64" s="10" t="str"/>
      <x:c r="F64" s="10" t="str"/>
      <x:c r="G64" s="10" t="str">
        <x:v>PENDING</x:v>
      </x:c>
      <x:c r="H64" t="str">
        <x:v>Enter lot IDs only once purchased; SKU is not a lot ID</x:v>
      </x:c>
    </x:row>
    <x:row r="65">
      <x:c r="A65" t="str">
        <x:v>09 Release QC</x:v>
      </x:c>
      <x:c r="B65" t="str">
        <x:v>Appearance / integrity visual inspection</x:v>
      </x:c>
      <x:c r="C65" t="str"/>
      <x:c r="D65" t="str"/>
      <x:c r="E65" s="10" t="str"/>
      <x:c r="F65" s="10" t="str"/>
      <x:c r="G65" s="10" t="str">
        <x:v>PENDING</x:v>
      </x:c>
      <x:c r="H65" t="str">
        <x:v>Enter lot IDs only once purchased; SKU is not a lot ID</x:v>
      </x:c>
    </x:row>
    <x:row r="66">
      <x:c r="A66" t="str">
        <x:v>09 Release QC</x:v>
      </x:c>
      <x:c r="B66" t="str">
        <x:v>Viable cell count NC-200</x:v>
      </x:c>
      <x:c r="C66" t="str"/>
      <x:c r="D66" t="str"/>
      <x:c r="E66" s="10" t="str"/>
      <x:c r="F66" s="10" t="str"/>
      <x:c r="G66" s="10" t="str">
        <x:v>PENDING</x:v>
      </x:c>
      <x:c r="H66" t="str">
        <x:v>Enter lot IDs only once purchased; SKU is not a lot ID</x:v>
      </x:c>
    </x:row>
    <x:row r="67">
      <x:c r="A67" t="str">
        <x:v>09 Release QC</x:v>
      </x:c>
      <x:c r="B67" t="str">
        <x:v>Viability NC-200</x:v>
      </x:c>
      <x:c r="C67" t="str"/>
      <x:c r="D67" t="str"/>
      <x:c r="E67" s="10" t="str"/>
      <x:c r="F67" s="10" t="str"/>
      <x:c r="G67" s="10" t="str">
        <x:v>PENDING</x:v>
      </x:c>
      <x:c r="H67" t="str">
        <x:v>Enter lot IDs only once purchased; SKU is not a lot ID</x:v>
      </x:c>
    </x:row>
    <x:row r="68">
      <x:c r="A68" t="str">
        <x:v>09 Release QC</x:v>
      </x:c>
      <x:c r="B68" t="str">
        <x:v>BacT/Alert aerobic bottle</x:v>
      </x:c>
      <x:c r="C68" t="str">
        <x:v>bioMerieux</x:v>
      </x:c>
      <x:c r="D68" t="str">
        <x:v>259791 / 410851</x:v>
      </x:c>
      <x:c r="E68" s="10" t="str"/>
      <x:c r="F68" s="10" t="str"/>
      <x:c r="G68" s="10" t="str">
        <x:v>PENDING</x:v>
      </x:c>
      <x:c r="H68" t="str">
        <x:v>Enter lot IDs only once purchased; SKU is not a lot ID</x:v>
      </x:c>
    </x:row>
    <x:row r="69">
      <x:c r="A69" t="str">
        <x:v>09 Release QC</x:v>
      </x:c>
      <x:c r="B69" t="str">
        <x:v>BacT/Alert anaerobic bottle</x:v>
      </x:c>
      <x:c r="C69" t="str">
        <x:v>bioMerieux</x:v>
      </x:c>
      <x:c r="D69" t="str">
        <x:v>259793 / 410852</x:v>
      </x:c>
      <x:c r="E69" s="10" t="str"/>
      <x:c r="F69" s="10" t="str"/>
      <x:c r="G69" s="10" t="str">
        <x:v>PENDING</x:v>
      </x:c>
      <x:c r="H69" t="str">
        <x:v>Enter lot IDs only once purchased; SKU is not a lot ID</x:v>
      </x:c>
    </x:row>
    <x:row r="70">
      <x:c r="A70" t="str">
        <x:v>09 Release QC</x:v>
      </x:c>
      <x:c r="B70" t="str">
        <x:v>Blood agar culture plate</x:v>
      </x:c>
      <x:c r="C70" t="str">
        <x:v>Substrat</x:v>
      </x:c>
      <x:c r="D70" t="str">
        <x:v>MIK2742-9</x:v>
      </x:c>
      <x:c r="E70" s="10" t="str"/>
      <x:c r="F70" s="10" t="str"/>
      <x:c r="G70" s="10" t="str">
        <x:v>PENDING</x:v>
      </x:c>
      <x:c r="H70" t="str">
        <x:v>Enter lot IDs only once purchased; SKU is not a lot ID</x:v>
      </x:c>
    </x:row>
    <x:row r="71">
      <x:c r="A71" t="str">
        <x:v>09 Release QC</x:v>
      </x:c>
      <x:c r="B71" t="str">
        <x:v>Mycoplasma PCR</x:v>
      </x:c>
      <x:c r="C71" t="str">
        <x:v>Labor LS SE &amp; Co. KG</x:v>
      </x:c>
      <x:c r="D71" t="str"/>
      <x:c r="E71" s="10" t="str"/>
      <x:c r="F71" s="10" t="str"/>
      <x:c r="G71" s="10" t="str">
        <x:v>PENDING</x:v>
      </x:c>
      <x:c r="H71" t="str">
        <x:v>Enter lot IDs only once purchased; SKU is not a lot ID</x:v>
      </x:c>
    </x:row>
    <x:row r="72">
      <x:c r="A72" t="str">
        <x:v>09 Release QC</x:v>
      </x:c>
      <x:c r="B72" t="str">
        <x:v>Endotoxin</x:v>
      </x:c>
      <x:c r="C72" t="str">
        <x:v>Endosafe nexgen PT</x:v>
      </x:c>
      <x:c r="D72" t="str"/>
      <x:c r="E72" s="10" t="str"/>
      <x:c r="F72" s="10" t="str"/>
      <x:c r="G72" s="10" t="str">
        <x:v>PENDING</x:v>
      </x:c>
      <x:c r="H72" t="str">
        <x:v>Enter lot IDs only once purchased; SKU is not a lot ID</x:v>
      </x:c>
    </x:row>
    <x:row r="73">
      <x:c r="A73" t="str">
        <x:v>09 Release QC</x:v>
      </x:c>
      <x:c r="B73" t="str">
        <x:v>CAR20 transgene expression</x:v>
      </x:c>
      <x:c r="C73" t="str">
        <x:v>Flow cytometry</x:v>
      </x:c>
      <x:c r="D73" t="str"/>
      <x:c r="E73" s="10" t="str"/>
      <x:c r="F73" s="10" t="str"/>
      <x:c r="G73" s="10" t="str">
        <x:v>PENDING</x:v>
      </x:c>
      <x:c r="H73" t="str">
        <x:v>Enter lot IDs only once purchased; SKU is not a lot ID</x:v>
      </x:c>
    </x:row>
    <x:row r="74">
      <x:c r="A74" t="str">
        <x:v>09 Release QC</x:v>
      </x:c>
      <x:c r="B74" t="str">
        <x:v>Identity CD3</x:v>
      </x:c>
      <x:c r="C74" t="str">
        <x:v>Flow cytometry</x:v>
      </x:c>
      <x:c r="D74" t="str"/>
      <x:c r="E74" s="10" t="str"/>
      <x:c r="F74" s="10" t="str"/>
      <x:c r="G74" s="10" t="str">
        <x:v>PENDING</x:v>
      </x:c>
      <x:c r="H74" t="str">
        <x:v>Enter lot IDs only once purchased; SKU is not a lot ID</x:v>
      </x:c>
    </x:row>
    <x:row r="75">
      <x:c r="A75" t="str">
        <x:v>09 Release QC</x:v>
      </x:c>
      <x:c r="B75" t="str">
        <x:v>Identity CD56 NK/NKT</x:v>
      </x:c>
      <x:c r="C75" t="str">
        <x:v>Flow cytometry</x:v>
      </x:c>
      <x:c r="D75" t="str"/>
      <x:c r="E75" s="10" t="str"/>
      <x:c r="F75" s="10" t="str"/>
      <x:c r="G75" s="10" t="str">
        <x:v>PENDING</x:v>
      </x:c>
      <x:c r="H75" t="str">
        <x:v>Enter lot IDs only once purchased; SKU is not a lot ID</x:v>
      </x:c>
    </x:row>
    <x:row r="76">
      <x:c r="A76" t="str">
        <x:v>09 Release QC</x:v>
      </x:c>
      <x:c r="B76" t="str">
        <x:v>Vector copy number ddPCR</x:v>
      </x:c>
      <x:c r="C76" t="str"/>
      <x:c r="D76" t="str"/>
      <x:c r="E76" s="10" t="str"/>
      <x:c r="F76" s="10" t="str"/>
      <x:c r="G76" s="10" t="str">
        <x:v>PENDING</x:v>
      </x:c>
      <x:c r="H76" t="str">
        <x:v>Enter lot IDs only once purchased; SKU is not a lot ID</x:v>
      </x:c>
    </x:row>
    <x:row r="77">
      <x:c r="A77" t="str">
        <x:v>10 Post-Release QC</x:v>
      </x:c>
      <x:c r="B77" t="str">
        <x:v>Sterility - culture supernatant</x:v>
      </x:c>
      <x:c r="C77" t="str">
        <x:v>ALS Mikrolab</x:v>
      </x:c>
      <x:c r="D77" t="str"/>
      <x:c r="E77" s="10" t="str"/>
      <x:c r="F77" s="10" t="str"/>
      <x:c r="G77" s="10" t="str">
        <x:v>PENDING</x:v>
      </x:c>
      <x:c r="H77" t="str">
        <x:v>Enter lot IDs only once purchased; SKU is not a lot ID</x:v>
      </x:c>
    </x:row>
    <x:row r="78">
      <x:c r="A78" t="str">
        <x:v>10 Post-Release QC</x:v>
      </x:c>
      <x:c r="B78" t="str">
        <x:v>Sterility - DP</x:v>
      </x:c>
      <x:c r="C78" t="str">
        <x:v>ALS Mikrolab</x:v>
      </x:c>
      <x:c r="D78" t="str"/>
      <x:c r="E78" s="10" t="str"/>
      <x:c r="F78" s="10" t="str"/>
      <x:c r="G78" s="10" t="str">
        <x:v>PENDING</x:v>
      </x:c>
      <x:c r="H78" t="str">
        <x:v>Enter lot IDs only once purchased; SKU is not a lot ID</x:v>
      </x:c>
    </x:row>
    <x:row r="79">
      <x:c r="A79" t="str">
        <x:v>10 Post-Release QC</x:v>
      </x:c>
      <x:c r="B79" t="str">
        <x:v>Potency - target-cell cytotoxicity</x:v>
      </x:c>
      <x:c r="C79" t="str"/>
      <x:c r="D79" t="str"/>
      <x:c r="E79" s="10" t="str"/>
      <x:c r="F79" s="10" t="str"/>
      <x:c r="G79" s="10" t="str">
        <x:v>PENDING</x:v>
      </x:c>
      <x:c r="H79" t="str">
        <x:v>Enter lot IDs only once purchased; SKU is not a lot ID</x:v>
      </x:c>
    </x:row>
    <x:row r="80">
      <x:c r="A80" t="str">
        <x:v>11 Stability</x:v>
      </x:c>
      <x:c r="B80" t="str">
        <x:v>Appearance and integrity stability</x:v>
      </x:c>
      <x:c r="C80" t="str"/>
      <x:c r="D80" t="str"/>
      <x:c r="E80" s="10" t="str"/>
      <x:c r="F80" s="10" t="str"/>
      <x:c r="G80" s="10" t="str">
        <x:v>PENDING</x:v>
      </x:c>
      <x:c r="H80" t="str">
        <x:v>Enter lot IDs only once purchased; SKU is not a lot ID</x:v>
      </x:c>
    </x:row>
    <x:row r="81">
      <x:c r="A81" t="str">
        <x:v>11 Stability</x:v>
      </x:c>
      <x:c r="B81" t="str">
        <x:v>Post-thaw viable cell count / viability</x:v>
      </x:c>
      <x:c r="C81" t="str"/>
      <x:c r="D81" t="str"/>
      <x:c r="E81" s="10" t="str"/>
      <x:c r="F81" s="10" t="str"/>
      <x:c r="G81" s="10" t="str">
        <x:v>PENDING</x:v>
      </x:c>
      <x:c r="H81" t="str">
        <x:v>Enter lot IDs only once purchased; SKU is not a lot ID</x:v>
      </x:c>
    </x:row>
    <x:row r="82">
      <x:c r="A82" t="str">
        <x:v>11 Stability</x:v>
      </x:c>
      <x:c r="B82" t="str">
        <x:v>CAR expression and identity stability</x:v>
      </x:c>
      <x:c r="C82" t="str"/>
      <x:c r="D82" t="str"/>
      <x:c r="E82" s="10" t="str"/>
      <x:c r="F82" s="10" t="str"/>
      <x:c r="G82" s="10" t="str">
        <x:v>PENDING</x:v>
      </x:c>
      <x:c r="H82" t="str">
        <x:v>Enter lot IDs only once purchased; SKU is not a lot ID</x:v>
      </x:c>
    </x:row>
    <x:row r="83">
      <x:c r="A83" t="str">
        <x:v>11 Stability</x:v>
      </x:c>
      <x:c r="B83" t="str">
        <x:v>Potency stability</x:v>
      </x:c>
      <x:c r="C83" t="str"/>
      <x:c r="D83" t="str"/>
      <x:c r="E83" s="10" t="str"/>
      <x:c r="F83" s="10" t="str"/>
      <x:c r="G83" s="10" t="str">
        <x:v>PENDING</x:v>
      </x:c>
      <x:c r="H83" t="str">
        <x:v>Enter lot IDs only once purchased; SKU is not a lot ID</x:v>
      </x:c>
    </x:row>
    <x:row r="84">
      <x:c r="A84" t="str">
        <x:v>11 Stability</x:v>
      </x:c>
      <x:c r="B84" t="str">
        <x:v>VCN stability as required</x:v>
      </x:c>
      <x:c r="C84" t="str"/>
      <x:c r="D84" t="str"/>
      <x:c r="E84" s="10" t="str"/>
      <x:c r="F84" s="10" t="str"/>
      <x:c r="G84" s="10" t="str">
        <x:v>PENDING</x:v>
      </x:c>
      <x:c r="H84" t="str">
        <x:v>Enter lot IDs only once purchased; SKU is not a lot ID</x:v>
      </x:c>
    </x:row>
    <x:row r="85">
      <x:c r="A85" t="str">
        <x:v>12 Infusion</x:v>
      </x:c>
      <x:c r="B85" t="str">
        <x:v>Lymphodepletion chemotherapy</x:v>
      </x:c>
      <x:c r="C85" t="str"/>
      <x:c r="D85" t="str"/>
      <x:c r="E85" s="10" t="str"/>
      <x:c r="F85" s="10" t="str"/>
      <x:c r="G85" s="10" t="str">
        <x:v>PENDING</x:v>
      </x:c>
      <x:c r="H85" t="str">
        <x:v>Enter lot IDs only once purchased; SKU is not a lot ID</x:v>
      </x:c>
    </x:row>
    <x:row r="86">
      <x:c r="A86" t="str">
        <x:v>12 Infusion</x:v>
      </x:c>
      <x:c r="B86" t="str">
        <x:v>CAR-T infusion and acute monitoring</x:v>
      </x:c>
      <x:c r="C86" t="str"/>
      <x:c r="D86" t="str"/>
      <x:c r="E86" s="10" t="str"/>
      <x:c r="F86" s="10" t="str"/>
      <x:c r="G86" s="10" t="str">
        <x:v>PENDING</x:v>
      </x:c>
      <x:c r="H86" t="str">
        <x:v>Enter lot IDs only once purchased; SKU is not a lot ID</x:v>
      </x:c>
    </x:row>
    <x:row r="87">
      <x:c r="A87" t="str">
        <x:v>13 Follow-up</x:v>
      </x:c>
      <x:c r="B87" t="str">
        <x:v>Clinical follow-up / adverse event monitoring</x:v>
      </x:c>
      <x:c r="C87" t="str"/>
      <x:c r="D87" t="str"/>
      <x:c r="E87" s="10" t="str"/>
      <x:c r="F87" s="10" t="str"/>
      <x:c r="G87" s="10" t="str">
        <x:v>PENDING</x:v>
      </x:c>
      <x:c r="H87" t="str">
        <x:v>Enter lot IDs only once purchased; SKU is not a lot ID</x:v>
      </x:c>
    </x:row>
    <x:row r="88">
      <x:c r="A88" t="str">
        <x:v>00 Vector CMC</x:v>
      </x:c>
      <x:c r="B88" t="str">
        <x:v>GMP vector construct development / licensing</x:v>
      </x:c>
      <x:c r="C88" t="str"/>
      <x:c r="D88" t="str"/>
      <x:c r="E88" s="10" t="str"/>
      <x:c r="F88" s="10" t="str"/>
      <x:c r="G88" s="10" t="str">
        <x:v>PENDING</x:v>
      </x:c>
      <x:c r="H88" t="str">
        <x:v>Enter lot IDs only once purchased; SKU is not a lot ID</x:v>
      </x:c>
    </x:row>
    <x:row r="89">
      <x:c r="A89" t="str">
        <x:v>00 Vector CMC</x:v>
      </x:c>
      <x:c r="B89" t="str">
        <x:v>GMP vector CDMO technology transfer</x:v>
      </x:c>
      <x:c r="C89" t="str"/>
      <x:c r="D89" t="str"/>
      <x:c r="E89" s="10" t="str"/>
      <x:c r="F89" s="10" t="str"/>
      <x:c r="G89" s="10" t="str">
        <x:v>PENDING</x:v>
      </x:c>
      <x:c r="H89" t="str">
        <x:v>Enter lot IDs only once purchased; SKU is not a lot ID</x:v>
      </x:c>
    </x:row>
    <x:row r="90">
      <x:c r="A90" t="str">
        <x:v>00 Vector CMC</x:v>
      </x:c>
      <x:c r="B90" t="str">
        <x:v>GMP vector engineering batch</x:v>
      </x:c>
      <x:c r="C90" t="str"/>
      <x:c r="D90" t="str"/>
      <x:c r="E90" s="10" t="str"/>
      <x:c r="F90" s="10" t="str"/>
      <x:c r="G90" s="10" t="str">
        <x:v>PENDING</x:v>
      </x:c>
      <x:c r="H90" t="str">
        <x:v>Enter lot IDs only once purchased; SKU is not a lot ID</x:v>
      </x:c>
    </x:row>
    <x:row r="91">
      <x:c r="A91" t="str">
        <x:v>00 Vector CMC</x:v>
      </x:c>
      <x:c r="B91" t="str">
        <x:v>GMP vector manufacturing attempt</x:v>
      </x:c>
      <x:c r="C91" t="str"/>
      <x:c r="D91" t="str"/>
      <x:c r="E91" s="10" t="str"/>
      <x:c r="F91" s="10" t="str"/>
      <x:c r="G91" s="10" t="str">
        <x:v>PENDING</x:v>
      </x:c>
      <x:c r="H91" t="str">
        <x:v>Enter lot IDs only once purchased; SKU is not a lot ID</x:v>
      </x:c>
    </x:row>
    <x:row r="92">
      <x:c r="A92" t="str">
        <x:v>00 Vector CMC</x:v>
      </x:c>
      <x:c r="B92" t="str">
        <x:v>GMP vector lot release QC</x:v>
      </x:c>
      <x:c r="C92" t="str"/>
      <x:c r="D92" t="str"/>
      <x:c r="E92" s="10" t="str"/>
      <x:c r="F92" s="10" t="str"/>
      <x:c r="G92" s="10" t="str">
        <x:v>PENDING</x:v>
      </x:c>
      <x:c r="H92" t="str">
        <x:v>Enter lot IDs only once purchased; SKU is not a lot ID</x:v>
      </x:c>
    </x:row>
    <x:row r="93">
      <x:c r="A93" t="str">
        <x:v>00 Vector CMC</x:v>
      </x:c>
      <x:c r="B93" t="str">
        <x:v>Vector stability and storage</x:v>
      </x:c>
      <x:c r="C93" t="str"/>
      <x:c r="D93" t="str"/>
      <x:c r="E93" s="10" t="str"/>
      <x:c r="F93" s="10" t="str"/>
      <x:c r="G93" s="10" t="str">
        <x:v>PENDING</x:v>
      </x:c>
      <x:c r="H93" t="str">
        <x:v>Enter lot IDs only once purchased; SKU is not a lot ID</x:v>
      </x:c>
    </x:row>
    <x:row r="94">
      <x:c r="A94" t="str">
        <x:v>14 Separate Overhead</x:v>
      </x:c>
      <x:c r="B94" t="str">
        <x:v>Operator manufacturing hours</x:v>
      </x:c>
      <x:c r="C94" t="str"/>
      <x:c r="D94" t="str"/>
      <x:c r="E94" s="10" t="str"/>
      <x:c r="F94" s="10" t="str"/>
      <x:c r="G94" s="10" t="str">
        <x:v>PENDING</x:v>
      </x:c>
      <x:c r="H94" t="str">
        <x:v>Enter lot IDs only once purchased; SKU is not a lot ID</x:v>
      </x:c>
    </x:row>
    <x:row r="95">
      <x:c r="A95" t="str">
        <x:v>14 Separate Overhead</x:v>
      </x:c>
      <x:c r="B95" t="str">
        <x:v>QC analyst hours</x:v>
      </x:c>
      <x:c r="C95" t="str"/>
      <x:c r="D95" t="str"/>
      <x:c r="E95" s="10" t="str"/>
      <x:c r="F95" s="10" t="str"/>
      <x:c r="G95" s="10" t="str">
        <x:v>PENDING</x:v>
      </x:c>
      <x:c r="H95" t="str">
        <x:v>Enter lot IDs only once purchased; SKU is not a lot ID</x:v>
      </x:c>
    </x:row>
    <x:row r="96">
      <x:c r="A96" t="str">
        <x:v>14 Separate Overhead</x:v>
      </x:c>
      <x:c r="B96" t="str">
        <x:v>QA / QP batch review hours</x:v>
      </x:c>
      <x:c r="C96" t="str"/>
      <x:c r="D96" t="str"/>
      <x:c r="E96" s="10" t="str"/>
      <x:c r="F96" s="10" t="str"/>
      <x:c r="G96" s="10" t="str">
        <x:v>PENDING</x:v>
      </x:c>
      <x:c r="H96" t="str">
        <x:v>Enter lot IDs only once purchased; SKU is not a lot ID</x:v>
      </x:c>
    </x:row>
    <x:row r="97">
      <x:c r="A97" t="str">
        <x:v>14 Separate Overhead</x:v>
      </x:c>
      <x:c r="B97" t="str">
        <x:v>Process development staff hours</x:v>
      </x:c>
      <x:c r="C97" t="str"/>
      <x:c r="D97" t="str"/>
      <x:c r="E97" s="10" t="str"/>
      <x:c r="F97" s="10" t="str"/>
      <x:c r="G97" s="10" t="str">
        <x:v>PENDING</x:v>
      </x:c>
      <x:c r="H97" t="str">
        <x:v>Enter lot IDs only once purchased; SKU is not a lot ID</x:v>
      </x:c>
    </x:row>
    <x:row r="98">
      <x:c r="A98" t="str">
        <x:v>14 Separate Overhead</x:v>
      </x:c>
      <x:c r="B98" t="str">
        <x:v>Project coordination hours</x:v>
      </x:c>
      <x:c r="C98" t="str"/>
      <x:c r="D98" t="str"/>
      <x:c r="E98" s="10" t="str"/>
      <x:c r="F98" s="10" t="str"/>
      <x:c r="G98" s="10" t="str">
        <x:v>PENDING</x:v>
      </x:c>
      <x:c r="H98" t="str">
        <x:v>Enter lot IDs only once purchased; SKU is not a lot ID</x:v>
      </x:c>
    </x:row>
    <x:row r="99">
      <x:c r="A99" t="str">
        <x:v>14 Separate Overhead</x:v>
      </x:c>
      <x:c r="B99" t="str">
        <x:v>Grade 2 GMP laboratory maintenance / environmental monitoring</x:v>
      </x:c>
      <x:c r="C99" t="str"/>
      <x:c r="D99" t="str"/>
      <x:c r="E99" s="10" t="str"/>
      <x:c r="F99" s="10" t="str"/>
      <x:c r="G99" s="10" t="str">
        <x:v>PENDING</x:v>
      </x:c>
      <x:c r="H99" t="str">
        <x:v>Enter lot IDs only once purchased; SKU is not a lot ID</x:v>
      </x:c>
    </x:row>
    <x:row r="100">
      <x:c r="A100" t="str">
        <x:v>14 Separate Overhead</x:v>
      </x:c>
      <x:c r="B100" t="str">
        <x:v>Facility qualification and calibration</x:v>
      </x:c>
      <x:c r="C100" t="str"/>
      <x:c r="D100" t="str"/>
      <x:c r="E100" s="10" t="str"/>
      <x:c r="F100" s="10" t="str"/>
      <x:c r="G100" s="10" t="str">
        <x:v>PENDING</x:v>
      </x:c>
      <x:c r="H100" t="str">
        <x:v>Enter lot IDs only once purchased; SKU is not a lot ID</x:v>
      </x:c>
    </x:row>
    <x:row r="101">
      <x:c r="A101" t="str">
        <x:v>14 Separate Overhead</x:v>
      </x:c>
      <x:c r="B101" t="str">
        <x:v>Prodigy equipment service / maintenance</x:v>
      </x:c>
      <x:c r="C101" t="str"/>
      <x:c r="D101" t="str"/>
      <x:c r="E101" s="10" t="str"/>
      <x:c r="F101" s="10" t="str"/>
      <x:c r="G101" s="10" t="str">
        <x:v>PENDING</x:v>
      </x:c>
      <x:c r="H101" t="str">
        <x:v>Enter lot IDs only once purchased; SKU is not a lot ID</x:v>
      </x:c>
    </x:row>
    <x:row r="102">
      <x:c r="A102" t="str">
        <x:v>14 Separate Overhead</x:v>
      </x:c>
      <x:c r="B102" t="str">
        <x:v>Sepax C-Pro equipment service / maintenance</x:v>
      </x:c>
      <x:c r="C102" t="str"/>
      <x:c r="D102" t="str"/>
      <x:c r="E102" s="10" t="str"/>
      <x:c r="F102" s="10" t="str"/>
      <x:c r="G102" s="10" t="str">
        <x:v>PENDING</x:v>
      </x:c>
      <x:c r="H102" t="str">
        <x:v>Enter lot IDs only once purchased; SKU is not a lot ID</x:v>
      </x:c>
    </x:row>
    <x:row r="103">
      <x:c r="A103" t="str">
        <x:v>14 Separate Overhead</x:v>
      </x:c>
      <x:c r="B103" t="str">
        <x:v>NC-200 / flow / ddPCR instrument maintenance</x:v>
      </x:c>
      <x:c r="C103" t="str"/>
      <x:c r="D103" t="str"/>
      <x:c r="E103" s="10" t="str"/>
      <x:c r="F103" s="10" t="str"/>
      <x:c r="G103" s="10" t="str">
        <x:v>PENDING</x:v>
      </x:c>
      <x:c r="H103" t="str">
        <x:v>Enter lot IDs only once purchased; SKU is not a lot ID</x:v>
      </x:c>
    </x:row>
    <x:row r="104">
      <x:c r="A104" t="str">
        <x:v>14 Separate Overhead</x:v>
      </x:c>
      <x:c r="B104" t="str">
        <x:v>Cleanroom utilities and waste</x:v>
      </x:c>
      <x:c r="C104" t="str"/>
      <x:c r="D104" t="str"/>
      <x:c r="E104" s="10" t="str"/>
      <x:c r="F104" s="10" t="str"/>
      <x:c r="G104" s="10" t="str">
        <x:v>PENDING</x:v>
      </x:c>
      <x:c r="H104" t="str">
        <x:v>Enter lot IDs only once purchased; SKU is not a lot ID</x:v>
      </x:c>
    </x:row>
  </x:sheetData>
  <x:pageMargins left="0.7" right="0.7" top="0.75" bottom="0.75" header="0.3" footer="0.3"/>
</x:worksheet>
</file>